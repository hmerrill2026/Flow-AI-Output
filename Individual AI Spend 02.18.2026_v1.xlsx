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Oj68AUSIE9J2mL5q5zRLijZZioc7Bhpm\Finance\03 - Strategic Finance\13 - FP&amp;A\1. F1 Forecast\4. Working Folders\HM\AI Forecast\Sankey Chart\"/>
    </mc:Choice>
  </mc:AlternateContent>
  <xr:revisionPtr revIDLastSave="0" documentId="13_ncr:1_{6CA8B5CB-7382-427D-9A7A-7447CBDDA0E1}" xr6:coauthVersionLast="47" xr6:coauthVersionMax="47" xr10:uidLastSave="{00000000-0000-0000-0000-000000000000}"/>
  <bookViews>
    <workbookView xWindow="-76920" yWindow="-5310" windowWidth="38640" windowHeight="21120" xr2:uid="{1F9C8CF9-4152-4225-A52D-308EA67A7595}"/>
  </bookViews>
  <sheets>
    <sheet name="Feb AI Spend by Individual" sheetId="1" r:id="rId1"/>
  </sheets>
  <definedNames>
    <definedName name="_xlnm._FilterDatabase" localSheetId="0" hidden="1">'Feb AI Spend by Individual'!$D$5:$J$137</definedName>
    <definedName name="_xlnm.Print_Area" localSheetId="0">'Feb AI Spend by Individual'!$B$2:$U$142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8" i="1" l="1"/>
  <c r="H138" i="1"/>
  <c r="S137" i="1"/>
  <c r="T137" i="1" s="1"/>
  <c r="P137" i="1"/>
  <c r="Q137" i="1" s="1"/>
  <c r="L137" i="1"/>
  <c r="M137" i="1" s="1"/>
  <c r="J137" i="1"/>
  <c r="S136" i="1"/>
  <c r="T136" i="1" s="1"/>
  <c r="P136" i="1"/>
  <c r="Q136" i="1" s="1"/>
  <c r="J136" i="1"/>
  <c r="L136" i="1" s="1"/>
  <c r="M136" i="1" s="1"/>
  <c r="T135" i="1"/>
  <c r="S135" i="1"/>
  <c r="P135" i="1"/>
  <c r="Q135" i="1" s="1"/>
  <c r="J135" i="1"/>
  <c r="L135" i="1" s="1"/>
  <c r="M135" i="1" s="1"/>
  <c r="S134" i="1"/>
  <c r="T134" i="1" s="1"/>
  <c r="P134" i="1"/>
  <c r="Q134" i="1" s="1"/>
  <c r="L134" i="1"/>
  <c r="M134" i="1" s="1"/>
  <c r="J134" i="1"/>
  <c r="S133" i="1"/>
  <c r="T133" i="1" s="1"/>
  <c r="P133" i="1"/>
  <c r="Q133" i="1" s="1"/>
  <c r="L133" i="1"/>
  <c r="M133" i="1" s="1"/>
  <c r="J133" i="1"/>
  <c r="S132" i="1"/>
  <c r="T132" i="1" s="1"/>
  <c r="P132" i="1"/>
  <c r="Q132" i="1" s="1"/>
  <c r="J132" i="1"/>
  <c r="L132" i="1" s="1"/>
  <c r="M132" i="1" s="1"/>
  <c r="T131" i="1"/>
  <c r="S131" i="1"/>
  <c r="P131" i="1"/>
  <c r="Q131" i="1" s="1"/>
  <c r="J131" i="1"/>
  <c r="T130" i="1"/>
  <c r="S130" i="1"/>
  <c r="Q130" i="1"/>
  <c r="P130" i="1"/>
  <c r="J130" i="1"/>
  <c r="T129" i="1"/>
  <c r="S129" i="1"/>
  <c r="P129" i="1"/>
  <c r="Q129" i="1" s="1"/>
  <c r="J129" i="1"/>
  <c r="L129" i="1" s="1"/>
  <c r="M129" i="1" s="1"/>
  <c r="S128" i="1"/>
  <c r="T128" i="1" s="1"/>
  <c r="P128" i="1"/>
  <c r="Q128" i="1" s="1"/>
  <c r="L128" i="1"/>
  <c r="M128" i="1" s="1"/>
  <c r="J128" i="1"/>
  <c r="T127" i="1"/>
  <c r="S127" i="1"/>
  <c r="P127" i="1"/>
  <c r="Q127" i="1" s="1"/>
  <c r="L127" i="1"/>
  <c r="M127" i="1" s="1"/>
  <c r="J127" i="1"/>
  <c r="S126" i="1"/>
  <c r="T126" i="1" s="1"/>
  <c r="Q126" i="1"/>
  <c r="P126" i="1"/>
  <c r="J126" i="1"/>
  <c r="S125" i="1"/>
  <c r="T125" i="1" s="1"/>
  <c r="P125" i="1"/>
  <c r="Q125" i="1" s="1"/>
  <c r="L125" i="1"/>
  <c r="M125" i="1" s="1"/>
  <c r="J125" i="1"/>
  <c r="S124" i="1"/>
  <c r="T124" i="1" s="1"/>
  <c r="P124" i="1"/>
  <c r="Q124" i="1" s="1"/>
  <c r="L124" i="1"/>
  <c r="M124" i="1" s="1"/>
  <c r="J124" i="1"/>
  <c r="S123" i="1"/>
  <c r="T123" i="1" s="1"/>
  <c r="P123" i="1"/>
  <c r="Q123" i="1" s="1"/>
  <c r="M123" i="1"/>
  <c r="L123" i="1"/>
  <c r="J123" i="1"/>
  <c r="S122" i="1"/>
  <c r="T122" i="1" s="1"/>
  <c r="P122" i="1"/>
  <c r="Q122" i="1" s="1"/>
  <c r="J122" i="1"/>
  <c r="L122" i="1" s="1"/>
  <c r="M122" i="1" s="1"/>
  <c r="S121" i="1"/>
  <c r="T121" i="1" s="1"/>
  <c r="P121" i="1"/>
  <c r="Q121" i="1" s="1"/>
  <c r="L121" i="1"/>
  <c r="M121" i="1" s="1"/>
  <c r="J121" i="1"/>
  <c r="S120" i="1"/>
  <c r="T120" i="1" s="1"/>
  <c r="P120" i="1"/>
  <c r="Q120" i="1" s="1"/>
  <c r="J120" i="1"/>
  <c r="L120" i="1" s="1"/>
  <c r="M120" i="1" s="1"/>
  <c r="T119" i="1"/>
  <c r="S119" i="1"/>
  <c r="P119" i="1"/>
  <c r="Q119" i="1" s="1"/>
  <c r="J119" i="1"/>
  <c r="S118" i="1"/>
  <c r="T118" i="1" s="1"/>
  <c r="Q118" i="1"/>
  <c r="P118" i="1"/>
  <c r="L118" i="1"/>
  <c r="M118" i="1" s="1"/>
  <c r="J118" i="1"/>
  <c r="S117" i="1"/>
  <c r="T117" i="1" s="1"/>
  <c r="P117" i="1"/>
  <c r="Q117" i="1" s="1"/>
  <c r="J117" i="1"/>
  <c r="L117" i="1" s="1"/>
  <c r="M117" i="1" s="1"/>
  <c r="S116" i="1"/>
  <c r="T116" i="1" s="1"/>
  <c r="P116" i="1"/>
  <c r="Q116" i="1" s="1"/>
  <c r="J116" i="1"/>
  <c r="L116" i="1" s="1"/>
  <c r="M116" i="1" s="1"/>
  <c r="T115" i="1"/>
  <c r="S115" i="1"/>
  <c r="P115" i="1"/>
  <c r="Q115" i="1" s="1"/>
  <c r="J115" i="1"/>
  <c r="L115" i="1" s="1"/>
  <c r="M115" i="1" s="1"/>
  <c r="S114" i="1"/>
  <c r="T114" i="1" s="1"/>
  <c r="P114" i="1"/>
  <c r="Q114" i="1" s="1"/>
  <c r="J114" i="1"/>
  <c r="S113" i="1"/>
  <c r="T113" i="1" s="1"/>
  <c r="P113" i="1"/>
  <c r="Q113" i="1" s="1"/>
  <c r="L113" i="1"/>
  <c r="M113" i="1" s="1"/>
  <c r="J113" i="1"/>
  <c r="T112" i="1"/>
  <c r="S112" i="1"/>
  <c r="Q112" i="1"/>
  <c r="P112" i="1"/>
  <c r="J112" i="1"/>
  <c r="L112" i="1" s="1"/>
  <c r="M112" i="1" s="1"/>
  <c r="T111" i="1"/>
  <c r="S111" i="1"/>
  <c r="P111" i="1"/>
  <c r="Q111" i="1" s="1"/>
  <c r="M111" i="1"/>
  <c r="L111" i="1"/>
  <c r="J111" i="1"/>
  <c r="T110" i="1"/>
  <c r="S110" i="1"/>
  <c r="P110" i="1"/>
  <c r="Q110" i="1" s="1"/>
  <c r="J110" i="1"/>
  <c r="L110" i="1" s="1"/>
  <c r="M110" i="1" s="1"/>
  <c r="S109" i="1"/>
  <c r="T109" i="1" s="1"/>
  <c r="P109" i="1"/>
  <c r="Q109" i="1" s="1"/>
  <c r="J109" i="1"/>
  <c r="L109" i="1" s="1"/>
  <c r="M109" i="1" s="1"/>
  <c r="S108" i="1"/>
  <c r="T108" i="1" s="1"/>
  <c r="P108" i="1"/>
  <c r="Q108" i="1" s="1"/>
  <c r="L108" i="1"/>
  <c r="M108" i="1" s="1"/>
  <c r="J108" i="1"/>
  <c r="T107" i="1"/>
  <c r="S107" i="1"/>
  <c r="P107" i="1"/>
  <c r="Q107" i="1" s="1"/>
  <c r="J107" i="1"/>
  <c r="T106" i="1"/>
  <c r="S106" i="1"/>
  <c r="P106" i="1"/>
  <c r="Q106" i="1" s="1"/>
  <c r="J106" i="1"/>
  <c r="T105" i="1"/>
  <c r="S105" i="1"/>
  <c r="P105" i="1"/>
  <c r="Q105" i="1" s="1"/>
  <c r="L105" i="1"/>
  <c r="M105" i="1" s="1"/>
  <c r="J105" i="1"/>
  <c r="S104" i="1"/>
  <c r="T104" i="1" s="1"/>
  <c r="P104" i="1"/>
  <c r="Q104" i="1" s="1"/>
  <c r="L104" i="1"/>
  <c r="M104" i="1" s="1"/>
  <c r="J104" i="1"/>
  <c r="S103" i="1"/>
  <c r="T103" i="1" s="1"/>
  <c r="P103" i="1"/>
  <c r="Q103" i="1" s="1"/>
  <c r="L103" i="1"/>
  <c r="M103" i="1" s="1"/>
  <c r="J103" i="1"/>
  <c r="S102" i="1"/>
  <c r="T102" i="1" s="1"/>
  <c r="P102" i="1"/>
  <c r="Q102" i="1" s="1"/>
  <c r="J102" i="1"/>
  <c r="S101" i="1"/>
  <c r="T101" i="1" s="1"/>
  <c r="P101" i="1"/>
  <c r="Q101" i="1" s="1"/>
  <c r="J101" i="1"/>
  <c r="L101" i="1" s="1"/>
  <c r="M101" i="1" s="1"/>
  <c r="T100" i="1"/>
  <c r="S100" i="1"/>
  <c r="Q100" i="1"/>
  <c r="P100" i="1"/>
  <c r="L100" i="1"/>
  <c r="M100" i="1" s="1"/>
  <c r="J100" i="1"/>
  <c r="S99" i="1"/>
  <c r="T99" i="1" s="1"/>
  <c r="P99" i="1"/>
  <c r="Q99" i="1" s="1"/>
  <c r="J99" i="1"/>
  <c r="L99" i="1" s="1"/>
  <c r="M99" i="1" s="1"/>
  <c r="T98" i="1"/>
  <c r="S98" i="1"/>
  <c r="P98" i="1"/>
  <c r="Q98" i="1" s="1"/>
  <c r="J98" i="1"/>
  <c r="L98" i="1" s="1"/>
  <c r="M98" i="1" s="1"/>
  <c r="S97" i="1"/>
  <c r="T97" i="1" s="1"/>
  <c r="P97" i="1"/>
  <c r="Q97" i="1" s="1"/>
  <c r="L97" i="1"/>
  <c r="M97" i="1" s="1"/>
  <c r="J97" i="1"/>
  <c r="S96" i="1"/>
  <c r="T96" i="1" s="1"/>
  <c r="P96" i="1"/>
  <c r="Q96" i="1" s="1"/>
  <c r="L96" i="1"/>
  <c r="M96" i="1" s="1"/>
  <c r="J96" i="1"/>
  <c r="T95" i="1"/>
  <c r="S95" i="1"/>
  <c r="P95" i="1"/>
  <c r="Q95" i="1" s="1"/>
  <c r="J95" i="1"/>
  <c r="S94" i="1"/>
  <c r="T94" i="1" s="1"/>
  <c r="Q94" i="1"/>
  <c r="P94" i="1"/>
  <c r="J94" i="1"/>
  <c r="L94" i="1" s="1"/>
  <c r="M94" i="1" s="1"/>
  <c r="T93" i="1"/>
  <c r="S93" i="1"/>
  <c r="P93" i="1"/>
  <c r="Q93" i="1" s="1"/>
  <c r="J93" i="1"/>
  <c r="L93" i="1" s="1"/>
  <c r="M93" i="1" s="1"/>
  <c r="S92" i="1"/>
  <c r="T92" i="1" s="1"/>
  <c r="P92" i="1"/>
  <c r="Q92" i="1" s="1"/>
  <c r="J92" i="1"/>
  <c r="L92" i="1" s="1"/>
  <c r="M92" i="1" s="1"/>
  <c r="S91" i="1"/>
  <c r="T91" i="1" s="1"/>
  <c r="P91" i="1"/>
  <c r="Q91" i="1" s="1"/>
  <c r="L91" i="1"/>
  <c r="M91" i="1" s="1"/>
  <c r="J91" i="1"/>
  <c r="T90" i="1"/>
  <c r="S90" i="1"/>
  <c r="Q90" i="1"/>
  <c r="P90" i="1"/>
  <c r="J90" i="1"/>
  <c r="L90" i="1" s="1"/>
  <c r="M90" i="1" s="1"/>
  <c r="S89" i="1"/>
  <c r="T89" i="1" s="1"/>
  <c r="P89" i="1"/>
  <c r="Q89" i="1" s="1"/>
  <c r="J89" i="1"/>
  <c r="L89" i="1" s="1"/>
  <c r="M89" i="1" s="1"/>
  <c r="T88" i="1"/>
  <c r="S88" i="1"/>
  <c r="Q88" i="1"/>
  <c r="P88" i="1"/>
  <c r="L88" i="1"/>
  <c r="M88" i="1" s="1"/>
  <c r="J88" i="1"/>
  <c r="S87" i="1"/>
  <c r="T87" i="1" s="1"/>
  <c r="P87" i="1"/>
  <c r="Q87" i="1" s="1"/>
  <c r="J87" i="1"/>
  <c r="L87" i="1" s="1"/>
  <c r="M87" i="1" s="1"/>
  <c r="T86" i="1"/>
  <c r="S86" i="1"/>
  <c r="P86" i="1"/>
  <c r="Q86" i="1" s="1"/>
  <c r="J86" i="1"/>
  <c r="L86" i="1" s="1"/>
  <c r="M86" i="1" s="1"/>
  <c r="S85" i="1"/>
  <c r="T85" i="1" s="1"/>
  <c r="P85" i="1"/>
  <c r="Q85" i="1" s="1"/>
  <c r="J85" i="1"/>
  <c r="L85" i="1" s="1"/>
  <c r="M85" i="1" s="1"/>
  <c r="S84" i="1"/>
  <c r="T84" i="1" s="1"/>
  <c r="P84" i="1"/>
  <c r="Q84" i="1" s="1"/>
  <c r="L84" i="1"/>
  <c r="M84" i="1" s="1"/>
  <c r="J84" i="1"/>
  <c r="S83" i="1"/>
  <c r="T83" i="1" s="1"/>
  <c r="P83" i="1"/>
  <c r="Q83" i="1" s="1"/>
  <c r="J83" i="1"/>
  <c r="S82" i="1"/>
  <c r="T82" i="1" s="1"/>
  <c r="P82" i="1"/>
  <c r="Q82" i="1" s="1"/>
  <c r="J82" i="1"/>
  <c r="T81" i="1"/>
  <c r="S81" i="1"/>
  <c r="P81" i="1"/>
  <c r="Q81" i="1" s="1"/>
  <c r="L81" i="1"/>
  <c r="M81" i="1" s="1"/>
  <c r="J81" i="1"/>
  <c r="S80" i="1"/>
  <c r="T80" i="1" s="1"/>
  <c r="P80" i="1"/>
  <c r="Q80" i="1" s="1"/>
  <c r="J80" i="1"/>
  <c r="L80" i="1" s="1"/>
  <c r="M80" i="1" s="1"/>
  <c r="T79" i="1"/>
  <c r="S79" i="1"/>
  <c r="P79" i="1"/>
  <c r="Q79" i="1" s="1"/>
  <c r="J79" i="1"/>
  <c r="T78" i="1"/>
  <c r="S78" i="1"/>
  <c r="Q78" i="1"/>
  <c r="P78" i="1"/>
  <c r="L78" i="1"/>
  <c r="M78" i="1" s="1"/>
  <c r="J78" i="1"/>
  <c r="S77" i="1"/>
  <c r="T77" i="1" s="1"/>
  <c r="P77" i="1"/>
  <c r="Q77" i="1" s="1"/>
  <c r="L77" i="1"/>
  <c r="M77" i="1" s="1"/>
  <c r="J77" i="1"/>
  <c r="S76" i="1"/>
  <c r="T76" i="1" s="1"/>
  <c r="Q76" i="1"/>
  <c r="P76" i="1"/>
  <c r="L76" i="1"/>
  <c r="M76" i="1" s="1"/>
  <c r="J76" i="1"/>
  <c r="T75" i="1"/>
  <c r="S75" i="1"/>
  <c r="P75" i="1"/>
  <c r="Q75" i="1" s="1"/>
  <c r="L75" i="1"/>
  <c r="M75" i="1" s="1"/>
  <c r="J75" i="1"/>
  <c r="S74" i="1"/>
  <c r="T74" i="1" s="1"/>
  <c r="P74" i="1"/>
  <c r="Q74" i="1" s="1"/>
  <c r="L74" i="1"/>
  <c r="M74" i="1" s="1"/>
  <c r="J74" i="1"/>
  <c r="S73" i="1"/>
  <c r="T73" i="1" s="1"/>
  <c r="P73" i="1"/>
  <c r="Q73" i="1" s="1"/>
  <c r="J73" i="1"/>
  <c r="L73" i="1" s="1"/>
  <c r="M73" i="1" s="1"/>
  <c r="S72" i="1"/>
  <c r="T72" i="1" s="1"/>
  <c r="P72" i="1"/>
  <c r="Q72" i="1" s="1"/>
  <c r="J72" i="1"/>
  <c r="L72" i="1" s="1"/>
  <c r="M72" i="1" s="1"/>
  <c r="T71" i="1"/>
  <c r="S71" i="1"/>
  <c r="Q71" i="1"/>
  <c r="P71" i="1"/>
  <c r="J71" i="1"/>
  <c r="S70" i="1"/>
  <c r="T70" i="1" s="1"/>
  <c r="P70" i="1"/>
  <c r="Q70" i="1" s="1"/>
  <c r="J70" i="1"/>
  <c r="L70" i="1" s="1"/>
  <c r="M70" i="1" s="1"/>
  <c r="S69" i="1"/>
  <c r="T69" i="1" s="1"/>
  <c r="P69" i="1"/>
  <c r="Q69" i="1" s="1"/>
  <c r="M69" i="1"/>
  <c r="L69" i="1"/>
  <c r="J69" i="1"/>
  <c r="T68" i="1"/>
  <c r="S68" i="1"/>
  <c r="P68" i="1"/>
  <c r="Q68" i="1" s="1"/>
  <c r="L68" i="1"/>
  <c r="M68" i="1" s="1"/>
  <c r="J68" i="1"/>
  <c r="S67" i="1"/>
  <c r="T67" i="1" s="1"/>
  <c r="P67" i="1"/>
  <c r="Q67" i="1" s="1"/>
  <c r="M67" i="1"/>
  <c r="L67" i="1"/>
  <c r="J67" i="1"/>
  <c r="T66" i="1"/>
  <c r="S66" i="1"/>
  <c r="P66" i="1"/>
  <c r="Q66" i="1" s="1"/>
  <c r="J66" i="1"/>
  <c r="S65" i="1"/>
  <c r="T65" i="1" s="1"/>
  <c r="P65" i="1"/>
  <c r="Q65" i="1" s="1"/>
  <c r="L65" i="1"/>
  <c r="M65" i="1" s="1"/>
  <c r="J65" i="1"/>
  <c r="S64" i="1"/>
  <c r="T64" i="1" s="1"/>
  <c r="P64" i="1"/>
  <c r="Q64" i="1" s="1"/>
  <c r="J64" i="1"/>
  <c r="L64" i="1" s="1"/>
  <c r="M64" i="1" s="1"/>
  <c r="S63" i="1"/>
  <c r="T63" i="1" s="1"/>
  <c r="P63" i="1"/>
  <c r="Q63" i="1" s="1"/>
  <c r="J63" i="1"/>
  <c r="S62" i="1"/>
  <c r="T62" i="1" s="1"/>
  <c r="Q62" i="1"/>
  <c r="P62" i="1"/>
  <c r="J62" i="1"/>
  <c r="S61" i="1"/>
  <c r="T61" i="1" s="1"/>
  <c r="P61" i="1"/>
  <c r="Q61" i="1" s="1"/>
  <c r="L61" i="1"/>
  <c r="M61" i="1" s="1"/>
  <c r="J61" i="1"/>
  <c r="S60" i="1"/>
  <c r="T60" i="1" s="1"/>
  <c r="P60" i="1"/>
  <c r="Q60" i="1" s="1"/>
  <c r="J60" i="1"/>
  <c r="L60" i="1" s="1"/>
  <c r="M60" i="1" s="1"/>
  <c r="T59" i="1"/>
  <c r="S59" i="1"/>
  <c r="P59" i="1"/>
  <c r="Q59" i="1" s="1"/>
  <c r="J59" i="1"/>
  <c r="T58" i="1"/>
  <c r="S58" i="1"/>
  <c r="P58" i="1"/>
  <c r="Q58" i="1" s="1"/>
  <c r="J58" i="1"/>
  <c r="T57" i="1"/>
  <c r="S57" i="1"/>
  <c r="P57" i="1"/>
  <c r="Q57" i="1" s="1"/>
  <c r="L57" i="1"/>
  <c r="M57" i="1" s="1"/>
  <c r="J57" i="1"/>
  <c r="S56" i="1"/>
  <c r="T56" i="1" s="1"/>
  <c r="P56" i="1"/>
  <c r="Q56" i="1" s="1"/>
  <c r="L56" i="1"/>
  <c r="M56" i="1" s="1"/>
  <c r="J56" i="1"/>
  <c r="S55" i="1"/>
  <c r="T55" i="1" s="1"/>
  <c r="P55" i="1"/>
  <c r="Q55" i="1" s="1"/>
  <c r="J55" i="1"/>
  <c r="S54" i="1"/>
  <c r="T54" i="1" s="1"/>
  <c r="Q54" i="1"/>
  <c r="P54" i="1"/>
  <c r="J54" i="1"/>
  <c r="S53" i="1"/>
  <c r="T53" i="1" s="1"/>
  <c r="P53" i="1"/>
  <c r="Q53" i="1" s="1"/>
  <c r="L53" i="1"/>
  <c r="M53" i="1" s="1"/>
  <c r="J53" i="1"/>
  <c r="S52" i="1"/>
  <c r="T52" i="1" s="1"/>
  <c r="P52" i="1"/>
  <c r="Q52" i="1" s="1"/>
  <c r="L52" i="1"/>
  <c r="M52" i="1" s="1"/>
  <c r="J52" i="1"/>
  <c r="S51" i="1"/>
  <c r="T51" i="1" s="1"/>
  <c r="P51" i="1"/>
  <c r="Q51" i="1" s="1"/>
  <c r="J51" i="1"/>
  <c r="T50" i="1"/>
  <c r="S50" i="1"/>
  <c r="P50" i="1"/>
  <c r="Q50" i="1" s="1"/>
  <c r="J50" i="1"/>
  <c r="L50" i="1" s="1"/>
  <c r="M50" i="1" s="1"/>
  <c r="S49" i="1"/>
  <c r="T49" i="1" s="1"/>
  <c r="P49" i="1"/>
  <c r="Q49" i="1" s="1"/>
  <c r="J49" i="1"/>
  <c r="L49" i="1" s="1"/>
  <c r="M49" i="1" s="1"/>
  <c r="S48" i="1"/>
  <c r="T48" i="1" s="1"/>
  <c r="Q48" i="1"/>
  <c r="P48" i="1"/>
  <c r="L48" i="1"/>
  <c r="M48" i="1" s="1"/>
  <c r="J48" i="1"/>
  <c r="S47" i="1"/>
  <c r="T47" i="1" s="1"/>
  <c r="P47" i="1"/>
  <c r="Q47" i="1" s="1"/>
  <c r="L47" i="1"/>
  <c r="M47" i="1" s="1"/>
  <c r="J47" i="1"/>
  <c r="S46" i="1"/>
  <c r="T46" i="1" s="1"/>
  <c r="P46" i="1"/>
  <c r="Q46" i="1" s="1"/>
  <c r="J46" i="1"/>
  <c r="S45" i="1"/>
  <c r="T45" i="1" s="1"/>
  <c r="P45" i="1"/>
  <c r="Q45" i="1" s="1"/>
  <c r="J45" i="1"/>
  <c r="S44" i="1"/>
  <c r="T44" i="1" s="1"/>
  <c r="P44" i="1"/>
  <c r="Q44" i="1" s="1"/>
  <c r="L44" i="1"/>
  <c r="M44" i="1" s="1"/>
  <c r="J44" i="1"/>
  <c r="S43" i="1"/>
  <c r="T43" i="1" s="1"/>
  <c r="P43" i="1"/>
  <c r="Q43" i="1" s="1"/>
  <c r="J43" i="1"/>
  <c r="T42" i="1"/>
  <c r="S42" i="1"/>
  <c r="Q42" i="1"/>
  <c r="P42" i="1"/>
  <c r="J42" i="1"/>
  <c r="L42" i="1" s="1"/>
  <c r="M42" i="1" s="1"/>
  <c r="S41" i="1"/>
  <c r="T41" i="1" s="1"/>
  <c r="P41" i="1"/>
  <c r="Q41" i="1" s="1"/>
  <c r="L41" i="1"/>
  <c r="M41" i="1" s="1"/>
  <c r="J41" i="1"/>
  <c r="T40" i="1"/>
  <c r="S40" i="1"/>
  <c r="Q40" i="1"/>
  <c r="P40" i="1"/>
  <c r="L40" i="1"/>
  <c r="M40" i="1" s="1"/>
  <c r="J40" i="1"/>
  <c r="S39" i="1"/>
  <c r="T39" i="1" s="1"/>
  <c r="Q39" i="1"/>
  <c r="P39" i="1"/>
  <c r="J39" i="1"/>
  <c r="L39" i="1" s="1"/>
  <c r="M39" i="1" s="1"/>
  <c r="S38" i="1"/>
  <c r="T38" i="1" s="1"/>
  <c r="P38" i="1"/>
  <c r="Q38" i="1" s="1"/>
  <c r="L38" i="1"/>
  <c r="M38" i="1" s="1"/>
  <c r="J38" i="1"/>
  <c r="S37" i="1"/>
  <c r="T37" i="1" s="1"/>
  <c r="P37" i="1"/>
  <c r="Q37" i="1" s="1"/>
  <c r="J37" i="1"/>
  <c r="S36" i="1"/>
  <c r="T36" i="1" s="1"/>
  <c r="P36" i="1"/>
  <c r="Q36" i="1" s="1"/>
  <c r="L36" i="1"/>
  <c r="M36" i="1" s="1"/>
  <c r="J36" i="1"/>
  <c r="S35" i="1"/>
  <c r="T35" i="1" s="1"/>
  <c r="P35" i="1"/>
  <c r="Q35" i="1" s="1"/>
  <c r="L35" i="1"/>
  <c r="M35" i="1" s="1"/>
  <c r="J35" i="1"/>
  <c r="S34" i="1"/>
  <c r="T34" i="1" s="1"/>
  <c r="P34" i="1"/>
  <c r="Q34" i="1" s="1"/>
  <c r="J34" i="1"/>
  <c r="S33" i="1"/>
  <c r="T33" i="1" s="1"/>
  <c r="P33" i="1"/>
  <c r="Q33" i="1" s="1"/>
  <c r="J33" i="1"/>
  <c r="S32" i="1"/>
  <c r="T32" i="1" s="1"/>
  <c r="P32" i="1"/>
  <c r="Q32" i="1" s="1"/>
  <c r="L32" i="1"/>
  <c r="M32" i="1" s="1"/>
  <c r="J32" i="1"/>
  <c r="S31" i="1"/>
  <c r="T31" i="1" s="1"/>
  <c r="P31" i="1"/>
  <c r="Q31" i="1" s="1"/>
  <c r="J31" i="1"/>
  <c r="S30" i="1"/>
  <c r="T30" i="1" s="1"/>
  <c r="P30" i="1"/>
  <c r="Q30" i="1" s="1"/>
  <c r="J30" i="1"/>
  <c r="L30" i="1" s="1"/>
  <c r="M30" i="1" s="1"/>
  <c r="S29" i="1"/>
  <c r="T29" i="1" s="1"/>
  <c r="P29" i="1"/>
  <c r="Q29" i="1" s="1"/>
  <c r="J29" i="1"/>
  <c r="L29" i="1" s="1"/>
  <c r="M29" i="1" s="1"/>
  <c r="T28" i="1"/>
  <c r="S28" i="1"/>
  <c r="P28" i="1"/>
  <c r="Q28" i="1" s="1"/>
  <c r="J28" i="1"/>
  <c r="L28" i="1" s="1"/>
  <c r="M28" i="1" s="1"/>
  <c r="S27" i="1"/>
  <c r="T27" i="1" s="1"/>
  <c r="Q27" i="1"/>
  <c r="P27" i="1"/>
  <c r="L27" i="1"/>
  <c r="M27" i="1" s="1"/>
  <c r="J27" i="1"/>
  <c r="S26" i="1"/>
  <c r="T26" i="1" s="1"/>
  <c r="P26" i="1"/>
  <c r="Q26" i="1" s="1"/>
  <c r="J26" i="1"/>
  <c r="L26" i="1" s="1"/>
  <c r="M26" i="1" s="1"/>
  <c r="S25" i="1"/>
  <c r="T25" i="1" s="1"/>
  <c r="P25" i="1"/>
  <c r="Q25" i="1" s="1"/>
  <c r="J25" i="1"/>
  <c r="S24" i="1"/>
  <c r="T24" i="1" s="1"/>
  <c r="Q24" i="1"/>
  <c r="P24" i="1"/>
  <c r="J24" i="1"/>
  <c r="S23" i="1"/>
  <c r="T23" i="1" s="1"/>
  <c r="P23" i="1"/>
  <c r="Q23" i="1" s="1"/>
  <c r="J23" i="1"/>
  <c r="L23" i="1" s="1"/>
  <c r="M23" i="1" s="1"/>
  <c r="S22" i="1"/>
  <c r="T22" i="1" s="1"/>
  <c r="P22" i="1"/>
  <c r="Q22" i="1" s="1"/>
  <c r="J22" i="1"/>
  <c r="T21" i="1"/>
  <c r="S21" i="1"/>
  <c r="Q21" i="1"/>
  <c r="P21" i="1"/>
  <c r="J21" i="1"/>
  <c r="T20" i="1"/>
  <c r="S20" i="1"/>
  <c r="P20" i="1"/>
  <c r="Q20" i="1" s="1"/>
  <c r="J20" i="1"/>
  <c r="S19" i="1"/>
  <c r="T19" i="1" s="1"/>
  <c r="P19" i="1"/>
  <c r="Q19" i="1" s="1"/>
  <c r="M19" i="1"/>
  <c r="L19" i="1"/>
  <c r="J19" i="1"/>
  <c r="S18" i="1"/>
  <c r="T18" i="1" s="1"/>
  <c r="P18" i="1"/>
  <c r="Q18" i="1" s="1"/>
  <c r="L18" i="1"/>
  <c r="M18" i="1" s="1"/>
  <c r="J18" i="1"/>
  <c r="S17" i="1"/>
  <c r="T17" i="1" s="1"/>
  <c r="P17" i="1"/>
  <c r="Q17" i="1" s="1"/>
  <c r="J17" i="1"/>
  <c r="L17" i="1" s="1"/>
  <c r="M17" i="1" s="1"/>
  <c r="S16" i="1"/>
  <c r="T16" i="1" s="1"/>
  <c r="Q16" i="1"/>
  <c r="P16" i="1"/>
  <c r="J16" i="1"/>
  <c r="S15" i="1"/>
  <c r="T15" i="1" s="1"/>
  <c r="P15" i="1"/>
  <c r="Q15" i="1" s="1"/>
  <c r="L15" i="1"/>
  <c r="M15" i="1" s="1"/>
  <c r="J15" i="1"/>
  <c r="S14" i="1"/>
  <c r="T14" i="1" s="1"/>
  <c r="P14" i="1"/>
  <c r="Q14" i="1" s="1"/>
  <c r="J14" i="1"/>
  <c r="L14" i="1" s="1"/>
  <c r="M14" i="1" s="1"/>
  <c r="S13" i="1"/>
  <c r="T13" i="1" s="1"/>
  <c r="P13" i="1"/>
  <c r="Q13" i="1" s="1"/>
  <c r="J13" i="1"/>
  <c r="S12" i="1"/>
  <c r="T12" i="1" s="1"/>
  <c r="P12" i="1"/>
  <c r="Q12" i="1" s="1"/>
  <c r="J12" i="1"/>
  <c r="S11" i="1"/>
  <c r="T11" i="1" s="1"/>
  <c r="P11" i="1"/>
  <c r="Q11" i="1" s="1"/>
  <c r="J11" i="1"/>
  <c r="L11" i="1" s="1"/>
  <c r="M11" i="1" s="1"/>
  <c r="S10" i="1"/>
  <c r="T10" i="1" s="1"/>
  <c r="P10" i="1"/>
  <c r="Q10" i="1" s="1"/>
  <c r="J10" i="1"/>
  <c r="C8" i="1" s="1"/>
  <c r="T9" i="1"/>
  <c r="S9" i="1"/>
  <c r="P9" i="1"/>
  <c r="Q9" i="1" s="1"/>
  <c r="J9" i="1"/>
  <c r="S8" i="1"/>
  <c r="T8" i="1" s="1"/>
  <c r="P8" i="1"/>
  <c r="Q8" i="1" s="1"/>
  <c r="J8" i="1"/>
  <c r="S7" i="1"/>
  <c r="T7" i="1" s="1"/>
  <c r="P7" i="1"/>
  <c r="Q7" i="1" s="1"/>
  <c r="J7" i="1"/>
  <c r="L7" i="1" s="1"/>
  <c r="M7" i="1" s="1"/>
  <c r="S6" i="1"/>
  <c r="P6" i="1"/>
  <c r="L6" i="1"/>
  <c r="J6" i="1"/>
  <c r="C108" i="1" l="1"/>
  <c r="C58" i="1"/>
  <c r="C49" i="1"/>
  <c r="C12" i="1"/>
  <c r="C25" i="1"/>
  <c r="P138" i="1"/>
  <c r="C50" i="1"/>
  <c r="C52" i="1"/>
  <c r="C63" i="1"/>
  <c r="L63" i="1"/>
  <c r="M63" i="1" s="1"/>
  <c r="C26" i="1"/>
  <c r="C46" i="1"/>
  <c r="C82" i="1"/>
  <c r="L10" i="1"/>
  <c r="M10" i="1" s="1"/>
  <c r="L22" i="1"/>
  <c r="M22" i="1" s="1"/>
  <c r="L46" i="1"/>
  <c r="M46" i="1" s="1"/>
  <c r="L82" i="1"/>
  <c r="M82" i="1" s="1"/>
  <c r="C106" i="1"/>
  <c r="C130" i="1"/>
  <c r="C17" i="1"/>
  <c r="C28" i="1"/>
  <c r="L34" i="1"/>
  <c r="M34" i="1" s="1"/>
  <c r="C40" i="1"/>
  <c r="C55" i="1"/>
  <c r="C66" i="1"/>
  <c r="C74" i="1"/>
  <c r="L106" i="1"/>
  <c r="M106" i="1" s="1"/>
  <c r="L130" i="1"/>
  <c r="M130" i="1" s="1"/>
  <c r="L55" i="1"/>
  <c r="M55" i="1" s="1"/>
  <c r="L66" i="1"/>
  <c r="M66" i="1" s="1"/>
  <c r="C70" i="1"/>
  <c r="C72" i="1"/>
  <c r="C91" i="1"/>
  <c r="C115" i="1"/>
  <c r="C10" i="1"/>
  <c r="C34" i="1"/>
  <c r="C122" i="1"/>
  <c r="C96" i="1"/>
  <c r="C120" i="1"/>
  <c r="C132" i="1"/>
  <c r="C61" i="1"/>
  <c r="C9" i="1"/>
  <c r="C98" i="1"/>
  <c r="C21" i="1"/>
  <c r="L9" i="1"/>
  <c r="M9" i="1" s="1"/>
  <c r="Q6" i="1"/>
  <c r="Q138" i="1" s="1"/>
  <c r="C14" i="1"/>
  <c r="C137" i="1"/>
  <c r="C133" i="1"/>
  <c r="C129" i="1"/>
  <c r="C125" i="1"/>
  <c r="C121" i="1"/>
  <c r="C117" i="1"/>
  <c r="C113" i="1"/>
  <c r="C109" i="1"/>
  <c r="C105" i="1"/>
  <c r="C101" i="1"/>
  <c r="C97" i="1"/>
  <c r="C93" i="1"/>
  <c r="C89" i="1"/>
  <c r="C85" i="1"/>
  <c r="C81" i="1"/>
  <c r="C77" i="1"/>
  <c r="C73" i="1"/>
  <c r="C64" i="1"/>
  <c r="C44" i="1"/>
  <c r="C32" i="1"/>
  <c r="C6" i="1"/>
  <c r="C53" i="1"/>
  <c r="C7" i="1"/>
  <c r="C136" i="1"/>
  <c r="J138" i="1"/>
  <c r="N114" i="1" s="1"/>
  <c r="C128" i="1"/>
  <c r="C116" i="1"/>
  <c r="C104" i="1"/>
  <c r="C92" i="1"/>
  <c r="C80" i="1"/>
  <c r="C56" i="1"/>
  <c r="C15" i="1"/>
  <c r="C23" i="1"/>
  <c r="C19" i="1"/>
  <c r="C11" i="1"/>
  <c r="C68" i="1"/>
  <c r="C100" i="1"/>
  <c r="C126" i="1"/>
  <c r="C114" i="1"/>
  <c r="C102" i="1"/>
  <c r="C90" i="1"/>
  <c r="C78" i="1"/>
  <c r="C65" i="1"/>
  <c r="C62" i="1"/>
  <c r="C48" i="1"/>
  <c r="C36" i="1"/>
  <c r="C42" i="1"/>
  <c r="C30" i="1"/>
  <c r="C124" i="1"/>
  <c r="C112" i="1"/>
  <c r="C88" i="1"/>
  <c r="C57" i="1"/>
  <c r="C54" i="1"/>
  <c r="C24" i="1"/>
  <c r="C20" i="1"/>
  <c r="C76" i="1"/>
  <c r="C60" i="1"/>
  <c r="L21" i="1"/>
  <c r="M21" i="1" s="1"/>
  <c r="C94" i="1"/>
  <c r="C118" i="1"/>
  <c r="L13" i="1"/>
  <c r="M13" i="1" s="1"/>
  <c r="C22" i="1"/>
  <c r="C38" i="1"/>
  <c r="C16" i="1"/>
  <c r="C31" i="1"/>
  <c r="C33" i="1"/>
  <c r="C37" i="1"/>
  <c r="C43" i="1"/>
  <c r="C45" i="1"/>
  <c r="C79" i="1"/>
  <c r="M6" i="1"/>
  <c r="C13" i="1"/>
  <c r="C18" i="1"/>
  <c r="L25" i="1"/>
  <c r="M25" i="1" s="1"/>
  <c r="C29" i="1"/>
  <c r="L31" i="1"/>
  <c r="M31" i="1" s="1"/>
  <c r="L37" i="1"/>
  <c r="M37" i="1" s="1"/>
  <c r="C41" i="1"/>
  <c r="L43" i="1"/>
  <c r="M43" i="1" s="1"/>
  <c r="L58" i="1"/>
  <c r="M58" i="1" s="1"/>
  <c r="C69" i="1"/>
  <c r="L79" i="1"/>
  <c r="M79" i="1" s="1"/>
  <c r="C86" i="1"/>
  <c r="C103" i="1"/>
  <c r="C127" i="1"/>
  <c r="C84" i="1"/>
  <c r="C110" i="1"/>
  <c r="C134" i="1"/>
  <c r="C83" i="1"/>
  <c r="C95" i="1"/>
  <c r="C107" i="1"/>
  <c r="C119" i="1"/>
  <c r="C131" i="1"/>
  <c r="C71" i="1"/>
  <c r="N105" i="1"/>
  <c r="S138" i="1"/>
  <c r="L71" i="1"/>
  <c r="M71" i="1" s="1"/>
  <c r="T6" i="1"/>
  <c r="T138" i="1" s="1"/>
  <c r="L8" i="1"/>
  <c r="M8" i="1" s="1"/>
  <c r="L12" i="1"/>
  <c r="M12" i="1" s="1"/>
  <c r="L16" i="1"/>
  <c r="M16" i="1" s="1"/>
  <c r="L20" i="1"/>
  <c r="M20" i="1" s="1"/>
  <c r="L24" i="1"/>
  <c r="M24" i="1" s="1"/>
  <c r="C27" i="1"/>
  <c r="C39" i="1"/>
  <c r="L51" i="1"/>
  <c r="M51" i="1" s="1"/>
  <c r="L54" i="1"/>
  <c r="M54" i="1" s="1"/>
  <c r="L83" i="1"/>
  <c r="M83" i="1" s="1"/>
  <c r="L95" i="1"/>
  <c r="M95" i="1" s="1"/>
  <c r="L107" i="1"/>
  <c r="M107" i="1" s="1"/>
  <c r="L119" i="1"/>
  <c r="M119" i="1" s="1"/>
  <c r="L131" i="1"/>
  <c r="M131" i="1" s="1"/>
  <c r="C59" i="1"/>
  <c r="L33" i="1"/>
  <c r="M33" i="1" s="1"/>
  <c r="L45" i="1"/>
  <c r="M45" i="1" s="1"/>
  <c r="L59" i="1"/>
  <c r="M59" i="1" s="1"/>
  <c r="L62" i="1"/>
  <c r="M62" i="1" s="1"/>
  <c r="N73" i="1"/>
  <c r="L102" i="1"/>
  <c r="M102" i="1" s="1"/>
  <c r="L114" i="1"/>
  <c r="M114" i="1" s="1"/>
  <c r="L126" i="1"/>
  <c r="M126" i="1" s="1"/>
  <c r="C51" i="1"/>
  <c r="C67" i="1"/>
  <c r="C75" i="1"/>
  <c r="C87" i="1"/>
  <c r="C99" i="1"/>
  <c r="C111" i="1"/>
  <c r="C123" i="1"/>
  <c r="C135" i="1"/>
  <c r="C35" i="1"/>
  <c r="C47" i="1"/>
  <c r="N118" i="1" l="1"/>
  <c r="N62" i="1"/>
  <c r="N110" i="1"/>
  <c r="N131" i="1"/>
  <c r="N82" i="1"/>
  <c r="N115" i="1"/>
  <c r="N121" i="1"/>
  <c r="N45" i="1"/>
  <c r="N86" i="1"/>
  <c r="N89" i="1"/>
  <c r="N119" i="1"/>
  <c r="N33" i="1"/>
  <c r="N74" i="1"/>
  <c r="N77" i="1"/>
  <c r="N31" i="1"/>
  <c r="N113" i="1"/>
  <c r="N91" i="1"/>
  <c r="N55" i="1"/>
  <c r="N106" i="1"/>
  <c r="N101" i="1"/>
  <c r="N49" i="1"/>
  <c r="N16" i="1"/>
  <c r="N51" i="1"/>
  <c r="N98" i="1"/>
  <c r="N130" i="1"/>
  <c r="N42" i="1"/>
  <c r="N70" i="1"/>
  <c r="N107" i="1"/>
  <c r="M138" i="1"/>
  <c r="N59" i="1"/>
  <c r="N48" i="1"/>
  <c r="N36" i="1"/>
  <c r="N28" i="1"/>
  <c r="N52" i="1"/>
  <c r="N68" i="1"/>
  <c r="N136" i="1"/>
  <c r="N124" i="1"/>
  <c r="N112" i="1"/>
  <c r="N100" i="1"/>
  <c r="N88" i="1"/>
  <c r="N76" i="1"/>
  <c r="N60" i="1"/>
  <c r="N40" i="1"/>
  <c r="N132" i="1"/>
  <c r="N120" i="1"/>
  <c r="N108" i="1"/>
  <c r="N96" i="1"/>
  <c r="N84" i="1"/>
  <c r="N72" i="1"/>
  <c r="N116" i="1"/>
  <c r="N92" i="1"/>
  <c r="N67" i="1"/>
  <c r="N56" i="1"/>
  <c r="N47" i="1"/>
  <c r="N23" i="1"/>
  <c r="N14" i="1"/>
  <c r="N75" i="1"/>
  <c r="N135" i="1"/>
  <c r="N111" i="1"/>
  <c r="N19" i="1"/>
  <c r="N128" i="1"/>
  <c r="N44" i="1"/>
  <c r="N87" i="1"/>
  <c r="N104" i="1"/>
  <c r="N32" i="1"/>
  <c r="N35" i="1"/>
  <c r="N64" i="1"/>
  <c r="N7" i="1"/>
  <c r="N80" i="1"/>
  <c r="N38" i="1"/>
  <c r="N26" i="1"/>
  <c r="N15" i="1"/>
  <c r="N123" i="1"/>
  <c r="N99" i="1"/>
  <c r="N18" i="1"/>
  <c r="N11" i="1"/>
  <c r="N6" i="1"/>
  <c r="N21" i="1"/>
  <c r="N137" i="1"/>
  <c r="N63" i="1"/>
  <c r="N102" i="1"/>
  <c r="N79" i="1"/>
  <c r="L138" i="1"/>
  <c r="N46" i="1"/>
  <c r="N93" i="1"/>
  <c r="N29" i="1"/>
  <c r="N81" i="1"/>
  <c r="N109" i="1"/>
  <c r="N25" i="1"/>
  <c r="N61" i="1"/>
  <c r="N53" i="1"/>
  <c r="N39" i="1"/>
  <c r="N97" i="1"/>
  <c r="N90" i="1"/>
  <c r="N54" i="1"/>
  <c r="N69" i="1"/>
  <c r="N41" i="1"/>
  <c r="N9" i="1"/>
  <c r="N20" i="1"/>
  <c r="N66" i="1"/>
  <c r="N30" i="1"/>
  <c r="N34" i="1"/>
  <c r="N94" i="1"/>
  <c r="N126" i="1"/>
  <c r="N50" i="1"/>
  <c r="N27" i="1"/>
  <c r="N95" i="1"/>
  <c r="N78" i="1"/>
  <c r="N127" i="1"/>
  <c r="N85" i="1"/>
  <c r="N71" i="1"/>
  <c r="N129" i="1"/>
  <c r="N134" i="1"/>
  <c r="N37" i="1"/>
  <c r="N12" i="1"/>
  <c r="N125" i="1"/>
  <c r="N17" i="1"/>
  <c r="N24" i="1"/>
  <c r="N22" i="1"/>
  <c r="N13" i="1"/>
  <c r="N57" i="1"/>
  <c r="N58" i="1"/>
  <c r="N133" i="1"/>
  <c r="N83" i="1"/>
  <c r="N65" i="1"/>
  <c r="N117" i="1"/>
  <c r="N122" i="1"/>
  <c r="N103" i="1"/>
  <c r="N43" i="1"/>
  <c r="N8" i="1"/>
  <c r="N10" i="1"/>
  <c r="N138" i="1" l="1"/>
</calcChain>
</file>

<file path=xl/sharedStrings.xml><?xml version="1.0" encoding="utf-8"?>
<sst xmlns="http://schemas.openxmlformats.org/spreadsheetml/2006/main" count="547" uniqueCount="320">
  <si>
    <t>Company Wide AI Spend / Employee</t>
  </si>
  <si>
    <t>($ in actuals)</t>
  </si>
  <si>
    <t>Days in Sample</t>
  </si>
  <si>
    <t>Rank</t>
  </si>
  <si>
    <t>User</t>
  </si>
  <si>
    <t>Department</t>
  </si>
  <si>
    <t>Organization</t>
  </si>
  <si>
    <t>Cursor On-Demand ($)</t>
  </si>
  <si>
    <t>Claude Direct ($)</t>
  </si>
  <si>
    <t>Per Day</t>
  </si>
  <si>
    <t>(%) of Total</t>
  </si>
  <si>
    <t>Cursor / Day</t>
  </si>
  <si>
    <t>Cursor / Annualized</t>
  </si>
  <si>
    <t>Claude / Day</t>
  </si>
  <si>
    <t>Claude / Annualized</t>
  </si>
  <si>
    <t>tom@flow.life</t>
  </si>
  <si>
    <t>Tom Callagee</t>
  </si>
  <si>
    <t>Acquisitions</t>
  </si>
  <si>
    <t>Real Estate</t>
  </si>
  <si>
    <t>nchim@flow.life</t>
  </si>
  <si>
    <t>Nicholas Chim</t>
  </si>
  <si>
    <t>Engineering</t>
  </si>
  <si>
    <t>Technology</t>
  </si>
  <si>
    <t>jkaster@flow.life</t>
  </si>
  <si>
    <t>John Kaster</t>
  </si>
  <si>
    <t>carevalo@flow.life</t>
  </si>
  <si>
    <t>Carlos Arevalo</t>
  </si>
  <si>
    <t>Product Design</t>
  </si>
  <si>
    <t>jstipins@flow.life</t>
  </si>
  <si>
    <t>Janis Stipins III</t>
  </si>
  <si>
    <t>colin@flow.life</t>
  </si>
  <si>
    <t>Colin Reed</t>
  </si>
  <si>
    <t>Strategic Finance</t>
  </si>
  <si>
    <t>Shared Services</t>
  </si>
  <si>
    <t>tomasz@gorka.org.pl</t>
  </si>
  <si>
    <t>Tomasz Gorka</t>
  </si>
  <si>
    <t>lyeung@flow.life</t>
  </si>
  <si>
    <t>Lucy Yeung</t>
  </si>
  <si>
    <t>Product Management</t>
  </si>
  <si>
    <t>abailin@flow.life</t>
  </si>
  <si>
    <t>Adam Bailin</t>
  </si>
  <si>
    <t>Growth and Revenue</t>
  </si>
  <si>
    <t>cnicholas@flow.life</t>
  </si>
  <si>
    <t>CJ Nicholas</t>
  </si>
  <si>
    <t>sryder@flow.life</t>
  </si>
  <si>
    <t>Scott Ryder</t>
  </si>
  <si>
    <t>chu@flow.life</t>
  </si>
  <si>
    <t>Chris Hu</t>
  </si>
  <si>
    <t>Development</t>
  </si>
  <si>
    <t>bgaldamez@flow.life</t>
  </si>
  <si>
    <t>Bryan Galdamez</t>
  </si>
  <si>
    <t>smeena@flow.life</t>
  </si>
  <si>
    <t>Swapnil Meena</t>
  </si>
  <si>
    <t>Program Design &amp; Development</t>
  </si>
  <si>
    <t>zmiranda@flow.life</t>
  </si>
  <si>
    <t>Zachery Miranda</t>
  </si>
  <si>
    <t>spalomo@flow.life</t>
  </si>
  <si>
    <t>Steven Palomo</t>
  </si>
  <si>
    <t>Design Services</t>
  </si>
  <si>
    <t>rliu@flow.life</t>
  </si>
  <si>
    <t>Ryan Liu</t>
  </si>
  <si>
    <t>Data Analytics</t>
  </si>
  <si>
    <t>mfarooq@flow.life</t>
  </si>
  <si>
    <t>Muhammad Farooq</t>
  </si>
  <si>
    <t>araman@flow.life</t>
  </si>
  <si>
    <t>Ashwin Raman</t>
  </si>
  <si>
    <t>jherberger@flow.life</t>
  </si>
  <si>
    <t>Justin Herberger</t>
  </si>
  <si>
    <t>vjain@flow.life</t>
  </si>
  <si>
    <t>Vidushi Jain</t>
  </si>
  <si>
    <t>kahmad@flow.life</t>
  </si>
  <si>
    <t>Kaivon Ahmad</t>
  </si>
  <si>
    <t>lsutton@flow.life</t>
  </si>
  <si>
    <t>Lily Sutton</t>
  </si>
  <si>
    <t>Marketing</t>
  </si>
  <si>
    <t>cmyslinsky@flow.life</t>
  </si>
  <si>
    <t>Charles Myslinsky</t>
  </si>
  <si>
    <t>adiaz@flow.life</t>
  </si>
  <si>
    <t>Andres Diaz</t>
  </si>
  <si>
    <t>RTX - PD&amp;D</t>
  </si>
  <si>
    <t>ralvarezhorine@flow.life</t>
  </si>
  <si>
    <t>Ralph Alvarez</t>
  </si>
  <si>
    <t>rababao@flow.life</t>
  </si>
  <si>
    <t>Rainier Ababao</t>
  </si>
  <si>
    <t>apilpre@flow.life</t>
  </si>
  <si>
    <t>Arnaud Pilpre</t>
  </si>
  <si>
    <t>jbernstein@flow.life</t>
  </si>
  <si>
    <t>Jason Bernstein</t>
  </si>
  <si>
    <t>Lease Up</t>
  </si>
  <si>
    <t>scartagena@flow.life</t>
  </si>
  <si>
    <t>Steve Cartagena</t>
  </si>
  <si>
    <t>pdelatour@flow.life</t>
  </si>
  <si>
    <t>Peter Delatour</t>
  </si>
  <si>
    <t>ezelermyer@flow.life</t>
  </si>
  <si>
    <t>Eric Zelermyer</t>
  </si>
  <si>
    <t>wkim@flow.life</t>
  </si>
  <si>
    <t>Won Kim</t>
  </si>
  <si>
    <t>gbalayan@flow.life</t>
  </si>
  <si>
    <t>Georgy Balayan</t>
  </si>
  <si>
    <t>hmerrill@flow.life</t>
  </si>
  <si>
    <t>Hamilton Merrill</t>
  </si>
  <si>
    <t>jgiuggio@flow.life</t>
  </si>
  <si>
    <t>John Giuggio</t>
  </si>
  <si>
    <t>dmittal@flow.life</t>
  </si>
  <si>
    <t>Devesh Mittal</t>
  </si>
  <si>
    <t>dgrastara@flow.life</t>
  </si>
  <si>
    <t>Daria Grastara</t>
  </si>
  <si>
    <t>hmchenry@flow.life</t>
  </si>
  <si>
    <t>Halsey McHenry</t>
  </si>
  <si>
    <t>sgarner@flow.life</t>
  </si>
  <si>
    <t>Sara Garner</t>
  </si>
  <si>
    <t>mdreszer@flow.life</t>
  </si>
  <si>
    <t>Michael Dreszer</t>
  </si>
  <si>
    <t>Executive</t>
  </si>
  <si>
    <t>srubin@flow.life</t>
  </si>
  <si>
    <t>Sagi Rubin</t>
  </si>
  <si>
    <t>nkeerthy@flow.life</t>
  </si>
  <si>
    <t>Naveen Kumar Keerthy</t>
  </si>
  <si>
    <t>pbrown@flow.life</t>
  </si>
  <si>
    <t>Pooja Garg</t>
  </si>
  <si>
    <t>jmaes@flow.life</t>
  </si>
  <si>
    <t>Justin Maes</t>
  </si>
  <si>
    <t>Property Management</t>
  </si>
  <si>
    <t>okhalifa@flow.life</t>
  </si>
  <si>
    <t>Omar Khalifa</t>
  </si>
  <si>
    <t>Real Time Experiences</t>
  </si>
  <si>
    <t>aspizzirri@flow.life</t>
  </si>
  <si>
    <t>Ria Spizzirri</t>
  </si>
  <si>
    <t>suz@flow.life</t>
  </si>
  <si>
    <t>Sara Uz</t>
  </si>
  <si>
    <t>Legal</t>
  </si>
  <si>
    <t>eric@flow.life</t>
  </si>
  <si>
    <t>Eric Chiang</t>
  </si>
  <si>
    <t>hpuah@flow.life</t>
  </si>
  <si>
    <t>Hui Puah</t>
  </si>
  <si>
    <t>ileblang@flow.life</t>
  </si>
  <si>
    <t>Ilana Leblang</t>
  </si>
  <si>
    <t>jweiss@flow.life</t>
  </si>
  <si>
    <t>Josh Weiss</t>
  </si>
  <si>
    <t>bosman@flow.life</t>
  </si>
  <si>
    <t>Bram Osman</t>
  </si>
  <si>
    <t>hsmith@flow.life</t>
  </si>
  <si>
    <t>Harrison Smith</t>
  </si>
  <si>
    <t>MENA Executive - Support &amp; Special Projects</t>
  </si>
  <si>
    <t>MENA</t>
  </si>
  <si>
    <t>bkrasowski@flow.life</t>
  </si>
  <si>
    <t>Brian Krasowski</t>
  </si>
  <si>
    <t>elee@flow.life</t>
  </si>
  <si>
    <t>Erica Lee</t>
  </si>
  <si>
    <t>aalgave@flow.life</t>
  </si>
  <si>
    <t>Aaron Algave</t>
  </si>
  <si>
    <t>sbiradar@flow.life</t>
  </si>
  <si>
    <t>Sam Biradar</t>
  </si>
  <si>
    <t>jharder@flow.life</t>
  </si>
  <si>
    <t>Jacob Harder</t>
  </si>
  <si>
    <t>Facilities</t>
  </si>
  <si>
    <t>lbeyer@flow.life</t>
  </si>
  <si>
    <t>Leah Beyer</t>
  </si>
  <si>
    <t>jricker@flow.life</t>
  </si>
  <si>
    <t>Jeffrey Ricker</t>
  </si>
  <si>
    <t>aprasad@flow.life</t>
  </si>
  <si>
    <t>Arun Prasad</t>
  </si>
  <si>
    <t>sbreck@flow.life</t>
  </si>
  <si>
    <t>Samuel Breck</t>
  </si>
  <si>
    <t>vrajasekharuni@flow.life</t>
  </si>
  <si>
    <t>Vijay Raj</t>
  </si>
  <si>
    <t>rmalik@flow.life</t>
  </si>
  <si>
    <t>Reza Malik</t>
  </si>
  <si>
    <t>mdurzynski@flow.life</t>
  </si>
  <si>
    <t>Matt Durzynski</t>
  </si>
  <si>
    <t>aohschultz@flow.life</t>
  </si>
  <si>
    <t>Andy Oh-Schultz</t>
  </si>
  <si>
    <t>samin@flow.life</t>
  </si>
  <si>
    <t>Sami Amin</t>
  </si>
  <si>
    <t>MENA - Executive</t>
  </si>
  <si>
    <t>zradick@flow.life</t>
  </si>
  <si>
    <t>Zack Radick</t>
  </si>
  <si>
    <t>arevich@flow.life</t>
  </si>
  <si>
    <t>Anton Revich</t>
  </si>
  <si>
    <t>IT</t>
  </si>
  <si>
    <t>anead@flow.life</t>
  </si>
  <si>
    <t>AJ Nead</t>
  </si>
  <si>
    <t>skanagaraj@flow.life</t>
  </si>
  <si>
    <t>Sathishkumar Kanagaraj</t>
  </si>
  <si>
    <t>elarrimore@flow.life</t>
  </si>
  <si>
    <t>Evan Larrimore</t>
  </si>
  <si>
    <t>mmcilwrick@flow.life</t>
  </si>
  <si>
    <t>Matthew Mcilwrick</t>
  </si>
  <si>
    <t>gscaglione@flow.life</t>
  </si>
  <si>
    <t>Gianluca Scaglione</t>
  </si>
  <si>
    <t>kchang@flow.life</t>
  </si>
  <si>
    <t>Kelly Chang</t>
  </si>
  <si>
    <t>mpaladugu@flow.life</t>
  </si>
  <si>
    <t>Sai Mounica Paladugu</t>
  </si>
  <si>
    <t>dakim@flow.life</t>
  </si>
  <si>
    <t>Dongjae (DK) Kim</t>
  </si>
  <si>
    <t>xli@flow.life</t>
  </si>
  <si>
    <t>Xiaodi Li</t>
  </si>
  <si>
    <t>apatrov@flow.life</t>
  </si>
  <si>
    <t>Andrey Patrov</t>
  </si>
  <si>
    <t>jabarrios@flow.life</t>
  </si>
  <si>
    <t>Javier Barrios</t>
  </si>
  <si>
    <t>hanyiabey@flow.life</t>
  </si>
  <si>
    <t>Hernandez Anyiabey</t>
  </si>
  <si>
    <t>wzong@flow.life</t>
  </si>
  <si>
    <t>Wei Zong</t>
  </si>
  <si>
    <t>ichupyta@flow.life</t>
  </si>
  <si>
    <t>Iryna Chupyta</t>
  </si>
  <si>
    <t>jbenito@flow.life</t>
  </si>
  <si>
    <t>Julio Benito</t>
  </si>
  <si>
    <t>vthirumaraiselvan@flow.life</t>
  </si>
  <si>
    <t>Vidhya Sagar</t>
  </si>
  <si>
    <t>mkeung@flow.life</t>
  </si>
  <si>
    <t>Michael Keung</t>
  </si>
  <si>
    <t>sfonseca@flow.life</t>
  </si>
  <si>
    <t>Samuel Fonseca</t>
  </si>
  <si>
    <t>obibas@flow.life</t>
  </si>
  <si>
    <t>Ori Bibas</t>
  </si>
  <si>
    <t>yadler@flow.life</t>
  </si>
  <si>
    <t>Yael Adler</t>
  </si>
  <si>
    <t>mberry@flow.life</t>
  </si>
  <si>
    <t>Megan Berry</t>
  </si>
  <si>
    <t>sdatta@flow.life</t>
  </si>
  <si>
    <t>Swarup Datta</t>
  </si>
  <si>
    <t>ilockwood@flow.life</t>
  </si>
  <si>
    <t>Ian Lockwood</t>
  </si>
  <si>
    <t>ilan@flow.life</t>
  </si>
  <si>
    <t>Ilan Stern</t>
  </si>
  <si>
    <t>sanya@flow.life</t>
  </si>
  <si>
    <t>Sanya Ivanovic</t>
  </si>
  <si>
    <t>People Operations</t>
  </si>
  <si>
    <t>dbolcioni@flow.life</t>
  </si>
  <si>
    <t>Davide Bolcioni</t>
  </si>
  <si>
    <t>rsingh@flow.life</t>
  </si>
  <si>
    <t>Ranvir Singh</t>
  </si>
  <si>
    <t>Program Office</t>
  </si>
  <si>
    <t>wfernandez@flow.life</t>
  </si>
  <si>
    <t>Wilkins Fernandez</t>
  </si>
  <si>
    <t>dalbin@flow.life</t>
  </si>
  <si>
    <t>Daniela Albin</t>
  </si>
  <si>
    <t>ffarooqui@flow.life</t>
  </si>
  <si>
    <t>Fawaz Farooqui</t>
  </si>
  <si>
    <t>yerisen@flow.life</t>
  </si>
  <si>
    <t>Yusuf Erisen</t>
  </si>
  <si>
    <t>ssghier@flow.life</t>
  </si>
  <si>
    <t>Samih Sghier</t>
  </si>
  <si>
    <t>mdaniels@flow.life</t>
  </si>
  <si>
    <t>Melissa Daniels</t>
  </si>
  <si>
    <t>pshah@flow.life</t>
  </si>
  <si>
    <t>Punit Shah</t>
  </si>
  <si>
    <t>aadusei@flow.life</t>
  </si>
  <si>
    <t>Alex Adusei</t>
  </si>
  <si>
    <t>kbendsen@flow.life</t>
  </si>
  <si>
    <t>Kyle Bendsen</t>
  </si>
  <si>
    <t>emolina@flow.life</t>
  </si>
  <si>
    <t>Eduardo Molina</t>
  </si>
  <si>
    <t>Building Operations - Brickell</t>
  </si>
  <si>
    <t>pkozlov@flow.life</t>
  </si>
  <si>
    <t>Pavel Kozlov</t>
  </si>
  <si>
    <t>skwatra@flow.life</t>
  </si>
  <si>
    <t>Shalini Kwatra</t>
  </si>
  <si>
    <t>max@flow.life</t>
  </si>
  <si>
    <t>Max Fink</t>
  </si>
  <si>
    <t>dor@flow.life</t>
  </si>
  <si>
    <t>Dor Shimonov</t>
  </si>
  <si>
    <t>ichin@flow.life</t>
  </si>
  <si>
    <t>Ian Chin</t>
  </si>
  <si>
    <t>Talent Acquisition</t>
  </si>
  <si>
    <t>xho@flow.life</t>
  </si>
  <si>
    <t>Xuan Mai Ho</t>
  </si>
  <si>
    <t>asondhi@flow.life</t>
  </si>
  <si>
    <t>Arjuna Sondhi</t>
  </si>
  <si>
    <t>dknight@flow.life</t>
  </si>
  <si>
    <t>David Knight</t>
  </si>
  <si>
    <t>jpsugarbroad@flow.life</t>
  </si>
  <si>
    <t>JP Sugarbroad</t>
  </si>
  <si>
    <t>cwestforbes@flow.life</t>
  </si>
  <si>
    <t>Cory West-Forbes</t>
  </si>
  <si>
    <t>dj@flow.life</t>
  </si>
  <si>
    <t>DJ Mauch</t>
  </si>
  <si>
    <t>sgantkin@flow.life</t>
  </si>
  <si>
    <t>Scott Gantkin</t>
  </si>
  <si>
    <t>mzhang@flow.life</t>
  </si>
  <si>
    <t>Michael Zhang</t>
  </si>
  <si>
    <t>qguo@flow.life</t>
  </si>
  <si>
    <t>Qiaoying Guo</t>
  </si>
  <si>
    <t>Corporate Accounting</t>
  </si>
  <si>
    <t>eedelman@flow.life</t>
  </si>
  <si>
    <t>Eran Edelman</t>
  </si>
  <si>
    <t>Asset Management</t>
  </si>
  <si>
    <t>ewoloszyn@flow.life</t>
  </si>
  <si>
    <t>Estelle Woloszyn</t>
  </si>
  <si>
    <t>sfoote@flow.life</t>
  </si>
  <si>
    <t>Sean Foote</t>
  </si>
  <si>
    <t>ezahra@flow.life</t>
  </si>
  <si>
    <t>Eyad Zahra</t>
  </si>
  <si>
    <t>Building Operations - Flow Miami</t>
  </si>
  <si>
    <t>jkehoe@flow.life</t>
  </si>
  <si>
    <t>Jonathan Kehoe</t>
  </si>
  <si>
    <t>People</t>
  </si>
  <si>
    <t>jhayes@flow.life</t>
  </si>
  <si>
    <t>Jay Hayes</t>
  </si>
  <si>
    <t>Leasing - Flow Miami</t>
  </si>
  <si>
    <t>jrozin@flow.life</t>
  </si>
  <si>
    <t>Jonnie Rozin</t>
  </si>
  <si>
    <t>nsaldarriaga@flow.life</t>
  </si>
  <si>
    <t>Natalie Saldarriaga</t>
  </si>
  <si>
    <t>csouza@flow.life</t>
  </si>
  <si>
    <t>Corey Souza</t>
  </si>
  <si>
    <t>Food and Beverage - Miami</t>
  </si>
  <si>
    <t>Food and Beverage</t>
  </si>
  <si>
    <t>aalhamdi@flow.life</t>
  </si>
  <si>
    <t>Abdullah AlHamdi</t>
  </si>
  <si>
    <t>B2B</t>
  </si>
  <si>
    <t>oalshimy@flow.life</t>
  </si>
  <si>
    <t>Osama Alshimy</t>
  </si>
  <si>
    <t>Total</t>
  </si>
  <si>
    <t>Person</t>
  </si>
  <si>
    <t>February Annualized</t>
  </si>
  <si>
    <t>February Spend 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</si>
</sst>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;\ \(#,###\);\ &quot;-&quot;"/>
    <numFmt numFmtId="165" formatCode="0.0%;\ \(0.0%\);\ &quot;-&quot;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0" fillId="0" borderId="0" xfId="0" applyAlignment="1">
      <alignment horizontal="left"/>
    </xf>
    <xf numFmtId="164" fontId="2" fillId="0" borderId="0" xfId="0" applyNumberFormat="1" applyFont="1"/>
    <xf numFmtId="164" fontId="3" fillId="0" borderId="0" xfId="0" applyNumberFormat="1" applyFont="1"/>
    <xf numFmtId="164" fontId="0" fillId="0" borderId="0" xfId="0" applyNumberFormat="1"/>
    <xf numFmtId="165" fontId="0" fillId="0" borderId="0" xfId="0" applyNumberFormat="1"/>
    <xf numFmtId="0" fontId="1" fillId="0" borderId="4" xfId="0" applyFont="1" applyBorder="1"/>
    <xf numFmtId="164" fontId="1" fillId="0" borderId="4" xfId="0" applyNumberFormat="1" applyFont="1" applyBorder="1"/>
    <xf numFmtId="165" fontId="1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70BAB-855D-4C47-AB7E-5AF7BF95476A}">
  <sheetPr>
    <pageSetUpPr fitToPage="1"/>
  </sheetPr>
  <dimension ref="B2:W138"/>
  <sheetViews>
    <sheetView showGridLines="0" tabSelected="1" view="pageBreakPreview" zoomScale="115" zoomScaleNormal="145" zoomScaleSheetLayoutView="115" workbookViewId="0">
      <selection activeCell="H33" sqref="H33"/>
    </sheetView>
  </sheetViews>
  <sheetFormatPr defaultRowHeight="14.5" x14ac:dyDescent="0.35"/>
  <cols>
    <col min="1" max="2" width="1.6328125" customWidth="1"/>
    <col min="4" max="4" width="26" bestFit="1" customWidth="1"/>
    <col min="5" max="5" width="36.81640625" bestFit="1" customWidth="1"/>
    <col min="6" max="6" width="26" customWidth="1"/>
    <col min="7" max="7" width="18.7265625" bestFit="1" customWidth="1"/>
    <col min="8" max="8" width="20.1796875" bestFit="1" customWidth="1"/>
    <col min="9" max="9" width="15" bestFit="1" customWidth="1"/>
    <col min="10" max="10" width="23.453125" bestFit="1" customWidth="1"/>
    <col min="11" max="11" width="1.6328125" customWidth="1"/>
    <col min="12" max="12" width="7.90625" customWidth="1"/>
    <col min="13" max="13" width="21" bestFit="1" customWidth="1"/>
    <col min="14" max="14" width="10.1796875" customWidth="1"/>
    <col min="15" max="15" width="1.6328125" customWidth="1"/>
    <col min="16" max="16" width="11.453125" bestFit="1" customWidth="1"/>
    <col min="17" max="17" width="17.7265625" bestFit="1" customWidth="1"/>
    <col min="18" max="18" width="1.6328125" customWidth="1"/>
    <col min="19" max="19" width="11.7265625" bestFit="1" customWidth="1"/>
    <col min="20" max="20" width="17.81640625" bestFit="1" customWidth="1"/>
    <col min="23" max="23" width="13.08984375" bestFit="1" customWidth="1"/>
  </cols>
  <sheetData>
    <row r="2" spans="2:23" x14ac:dyDescent="0.3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2:23" x14ac:dyDescent="0.35">
      <c r="B3" t="s">
        <v>1</v>
      </c>
      <c r="W3" s="2" t="s">
        <v>2</v>
      </c>
    </row>
    <row r="4" spans="2:23" x14ac:dyDescent="0.35">
      <c r="W4" s="3">
        <v>16</v>
      </c>
    </row>
    <row r="5" spans="2:23" x14ac:dyDescent="0.35">
      <c r="C5" s="4" t="s">
        <v>3</v>
      </c>
      <c r="D5" s="1" t="s">
        <v>4</v>
      </c>
      <c r="E5" s="1" t="s">
        <v>5</v>
      </c>
      <c r="F5" s="1" t="s">
        <v>317</v>
      </c>
      <c r="G5" s="1" t="s">
        <v>6</v>
      </c>
      <c r="H5" s="1" t="s">
        <v>7</v>
      </c>
      <c r="I5" s="1" t="s">
        <v>8</v>
      </c>
      <c r="J5" s="5" t="s">
        <v>319</v>
      </c>
      <c r="L5" s="5" t="s">
        <v>9</v>
      </c>
      <c r="M5" s="5" t="s">
        <v>318</v>
      </c>
      <c r="N5" s="5" t="s">
        <v>10</v>
      </c>
      <c r="P5" s="5" t="s">
        <v>11</v>
      </c>
      <c r="Q5" s="5" t="s">
        <v>12</v>
      </c>
      <c r="S5" s="5" t="s">
        <v>13</v>
      </c>
      <c r="T5" s="5" t="s">
        <v>14</v>
      </c>
    </row>
    <row r="6" spans="2:23" x14ac:dyDescent="0.35">
      <c r="C6" s="6">
        <f t="shared" ref="C6:C37" si="0">+RANK(J6,$J$6:$J$137,0)</f>
        <v>1</v>
      </c>
      <c r="D6" t="s">
        <v>15</v>
      </c>
      <c r="E6" t="s">
        <v>17</v>
      </c>
      <c r="F6" t="s">
        <v>16</v>
      </c>
      <c r="G6" t="s">
        <v>18</v>
      </c>
      <c r="H6" s="7">
        <v>0</v>
      </c>
      <c r="I6" s="7">
        <v>1438.93</v>
      </c>
      <c r="J6" s="8">
        <f>SUM(H6:I6)</f>
        <v>1438.93</v>
      </c>
      <c r="K6" s="8"/>
      <c r="L6" s="9">
        <f t="shared" ref="L6:L37" si="1">+J6/$W$4</f>
        <v>89.933125000000004</v>
      </c>
      <c r="M6" s="9">
        <f>+L6*365</f>
        <v>32825.590625000004</v>
      </c>
      <c r="N6" s="10">
        <f>+J6/$J$138</f>
        <v>8.5330150049605369E-2</v>
      </c>
      <c r="P6" s="9">
        <f>+H6/$W$4</f>
        <v>0</v>
      </c>
      <c r="Q6" s="9">
        <f>+P6*365</f>
        <v>0</v>
      </c>
      <c r="S6" s="9">
        <f>+I6/$W$4</f>
        <v>89.933125000000004</v>
      </c>
      <c r="T6" s="9">
        <f>+S6*365</f>
        <v>32825.590625000004</v>
      </c>
    </row>
    <row r="7" spans="2:23" x14ac:dyDescent="0.35">
      <c r="C7" s="6">
        <f t="shared" si="0"/>
        <v>2</v>
      </c>
      <c r="D7" t="s">
        <v>19</v>
      </c>
      <c r="E7" t="s">
        <v>21</v>
      </c>
      <c r="F7" t="s">
        <v>20</v>
      </c>
      <c r="G7" t="s">
        <v>22</v>
      </c>
      <c r="H7" s="7">
        <v>0</v>
      </c>
      <c r="I7" s="7">
        <v>1331.58</v>
      </c>
      <c r="J7" s="8">
        <f t="shared" ref="J7:J70" si="2">SUM(H7:I7)</f>
        <v>1331.58</v>
      </c>
      <c r="K7" s="8"/>
      <c r="L7" s="9">
        <f t="shared" si="1"/>
        <v>83.223749999999995</v>
      </c>
      <c r="M7" s="9">
        <f t="shared" ref="M7:M70" si="3">+L7*365</f>
        <v>30376.668749999997</v>
      </c>
      <c r="N7" s="10">
        <f t="shared" ref="N7:N70" si="4">+J7/$J$138</f>
        <v>7.8964175604826853E-2</v>
      </c>
      <c r="O7" s="10"/>
      <c r="P7" s="9">
        <f t="shared" ref="P7:P70" si="5">+H7/$W$4</f>
        <v>0</v>
      </c>
      <c r="Q7" s="9">
        <f t="shared" ref="Q7:Q70" si="6">+P7*365</f>
        <v>0</v>
      </c>
      <c r="R7" s="10"/>
      <c r="S7" s="9">
        <f t="shared" ref="S7:S70" si="7">+I7/$W$4</f>
        <v>83.223749999999995</v>
      </c>
      <c r="T7" s="9">
        <f t="shared" ref="T7:T70" si="8">+S7*365</f>
        <v>30376.668749999997</v>
      </c>
    </row>
    <row r="8" spans="2:23" x14ac:dyDescent="0.35">
      <c r="C8" s="6">
        <f t="shared" si="0"/>
        <v>3</v>
      </c>
      <c r="D8" t="s">
        <v>23</v>
      </c>
      <c r="E8" t="s">
        <v>21</v>
      </c>
      <c r="F8" t="s">
        <v>24</v>
      </c>
      <c r="G8" t="s">
        <v>22</v>
      </c>
      <c r="H8" s="7">
        <v>0</v>
      </c>
      <c r="I8" s="7">
        <v>1292.23</v>
      </c>
      <c r="J8" s="8">
        <f t="shared" si="2"/>
        <v>1292.23</v>
      </c>
      <c r="K8" s="8"/>
      <c r="L8" s="9">
        <f t="shared" si="1"/>
        <v>80.764375000000001</v>
      </c>
      <c r="M8" s="9">
        <f t="shared" si="3"/>
        <v>29478.996875000001</v>
      </c>
      <c r="N8" s="10">
        <f t="shared" si="4"/>
        <v>7.6630676821389188E-2</v>
      </c>
      <c r="O8" s="10"/>
      <c r="P8" s="9">
        <f t="shared" si="5"/>
        <v>0</v>
      </c>
      <c r="Q8" s="9">
        <f t="shared" si="6"/>
        <v>0</v>
      </c>
      <c r="R8" s="10"/>
      <c r="S8" s="9">
        <f t="shared" si="7"/>
        <v>80.764375000000001</v>
      </c>
      <c r="T8" s="9">
        <f t="shared" si="8"/>
        <v>29478.996875000001</v>
      </c>
    </row>
    <row r="9" spans="2:23" x14ac:dyDescent="0.35">
      <c r="C9" s="6">
        <f t="shared" si="0"/>
        <v>4</v>
      </c>
      <c r="D9" t="s">
        <v>25</v>
      </c>
      <c r="E9" t="s">
        <v>27</v>
      </c>
      <c r="F9" t="s">
        <v>26</v>
      </c>
      <c r="G9" t="s">
        <v>22</v>
      </c>
      <c r="H9" s="7">
        <v>0</v>
      </c>
      <c r="I9" s="7">
        <v>1042.3800000000001</v>
      </c>
      <c r="J9" s="8">
        <f t="shared" si="2"/>
        <v>1042.3800000000001</v>
      </c>
      <c r="K9" s="8"/>
      <c r="L9" s="9">
        <f t="shared" si="1"/>
        <v>65.148750000000007</v>
      </c>
      <c r="M9" s="9">
        <f t="shared" si="3"/>
        <v>23779.293750000001</v>
      </c>
      <c r="N9" s="10">
        <f t="shared" si="4"/>
        <v>6.1814293821594965E-2</v>
      </c>
      <c r="O9" s="10"/>
      <c r="P9" s="9">
        <f t="shared" si="5"/>
        <v>0</v>
      </c>
      <c r="Q9" s="9">
        <f t="shared" si="6"/>
        <v>0</v>
      </c>
      <c r="R9" s="10"/>
      <c r="S9" s="9">
        <f t="shared" si="7"/>
        <v>65.148750000000007</v>
      </c>
      <c r="T9" s="9">
        <f t="shared" si="8"/>
        <v>23779.293750000001</v>
      </c>
    </row>
    <row r="10" spans="2:23" x14ac:dyDescent="0.35">
      <c r="C10" s="6">
        <f t="shared" si="0"/>
        <v>5</v>
      </c>
      <c r="D10" t="s">
        <v>28</v>
      </c>
      <c r="E10" t="s">
        <v>21</v>
      </c>
      <c r="F10" t="s">
        <v>29</v>
      </c>
      <c r="G10" t="s">
        <v>22</v>
      </c>
      <c r="H10" s="7">
        <v>705.56</v>
      </c>
      <c r="I10" s="7">
        <v>223.97</v>
      </c>
      <c r="J10" s="8">
        <f t="shared" si="2"/>
        <v>929.53</v>
      </c>
      <c r="K10" s="8"/>
      <c r="L10" s="9">
        <f t="shared" si="1"/>
        <v>58.095624999999998</v>
      </c>
      <c r="M10" s="9">
        <f t="shared" si="3"/>
        <v>21204.903125000001</v>
      </c>
      <c r="N10" s="10">
        <f t="shared" si="4"/>
        <v>5.5122163257149179E-2</v>
      </c>
      <c r="O10" s="10"/>
      <c r="P10" s="9">
        <f t="shared" si="5"/>
        <v>44.097499999999997</v>
      </c>
      <c r="Q10" s="9">
        <f t="shared" si="6"/>
        <v>16095.5875</v>
      </c>
      <c r="R10" s="10"/>
      <c r="S10" s="9">
        <f t="shared" si="7"/>
        <v>13.998125</v>
      </c>
      <c r="T10" s="9">
        <f t="shared" si="8"/>
        <v>5109.3156250000002</v>
      </c>
    </row>
    <row r="11" spans="2:23" x14ac:dyDescent="0.35">
      <c r="C11" s="6">
        <f t="shared" si="0"/>
        <v>6</v>
      </c>
      <c r="D11" t="s">
        <v>30</v>
      </c>
      <c r="E11" t="s">
        <v>32</v>
      </c>
      <c r="F11" t="s">
        <v>31</v>
      </c>
      <c r="G11" t="s">
        <v>33</v>
      </c>
      <c r="H11" s="7">
        <v>634.03</v>
      </c>
      <c r="I11" s="7">
        <v>5.51</v>
      </c>
      <c r="J11" s="8">
        <f t="shared" si="2"/>
        <v>639.54</v>
      </c>
      <c r="K11" s="8"/>
      <c r="L11" s="9">
        <f t="shared" si="1"/>
        <v>39.971249999999998</v>
      </c>
      <c r="M11" s="9">
        <f t="shared" si="3"/>
        <v>14589.506249999999</v>
      </c>
      <c r="N11" s="10">
        <f t="shared" si="4"/>
        <v>3.7925433594910532E-2</v>
      </c>
      <c r="O11" s="10"/>
      <c r="P11" s="9">
        <f t="shared" si="5"/>
        <v>39.626874999999998</v>
      </c>
      <c r="Q11" s="9">
        <f t="shared" si="6"/>
        <v>14463.809374999999</v>
      </c>
      <c r="R11" s="10"/>
      <c r="S11" s="9">
        <f t="shared" si="7"/>
        <v>0.34437499999999999</v>
      </c>
      <c r="T11" s="9">
        <f t="shared" si="8"/>
        <v>125.69687499999999</v>
      </c>
    </row>
    <row r="12" spans="2:23" x14ac:dyDescent="0.35">
      <c r="C12" s="6">
        <f t="shared" si="0"/>
        <v>7</v>
      </c>
      <c r="D12" t="s">
        <v>34</v>
      </c>
      <c r="E12" t="s">
        <v>21</v>
      </c>
      <c r="F12" t="s">
        <v>35</v>
      </c>
      <c r="G12" t="s">
        <v>22</v>
      </c>
      <c r="H12" s="7">
        <v>638.82000000000005</v>
      </c>
      <c r="I12" s="7">
        <v>0</v>
      </c>
      <c r="J12" s="8">
        <f t="shared" si="2"/>
        <v>638.82000000000005</v>
      </c>
      <c r="K12" s="8"/>
      <c r="L12" s="9">
        <f t="shared" si="1"/>
        <v>39.926250000000003</v>
      </c>
      <c r="M12" s="9">
        <f t="shared" si="3"/>
        <v>14573.081250000001</v>
      </c>
      <c r="N12" s="10">
        <f t="shared" si="4"/>
        <v>3.7882736793790457E-2</v>
      </c>
      <c r="O12" s="10"/>
      <c r="P12" s="9">
        <f t="shared" si="5"/>
        <v>39.926250000000003</v>
      </c>
      <c r="Q12" s="9">
        <f t="shared" si="6"/>
        <v>14573.081250000001</v>
      </c>
      <c r="R12" s="10"/>
      <c r="S12" s="9">
        <f t="shared" si="7"/>
        <v>0</v>
      </c>
      <c r="T12" s="9">
        <f t="shared" si="8"/>
        <v>0</v>
      </c>
    </row>
    <row r="13" spans="2:23" x14ac:dyDescent="0.35">
      <c r="C13" s="6">
        <f t="shared" si="0"/>
        <v>8</v>
      </c>
      <c r="D13" t="s">
        <v>36</v>
      </c>
      <c r="E13" t="s">
        <v>38</v>
      </c>
      <c r="F13" t="s">
        <v>37</v>
      </c>
      <c r="G13" t="s">
        <v>22</v>
      </c>
      <c r="H13" s="7">
        <v>0</v>
      </c>
      <c r="I13" s="7">
        <v>583.65</v>
      </c>
      <c r="J13" s="8">
        <f t="shared" si="2"/>
        <v>583.65</v>
      </c>
      <c r="K13" s="8"/>
      <c r="L13" s="9">
        <f t="shared" si="1"/>
        <v>36.478124999999999</v>
      </c>
      <c r="M13" s="9">
        <f t="shared" si="3"/>
        <v>13314.515625</v>
      </c>
      <c r="N13" s="10">
        <f t="shared" si="4"/>
        <v>3.4611094407964366E-2</v>
      </c>
      <c r="O13" s="10"/>
      <c r="P13" s="9">
        <f t="shared" si="5"/>
        <v>0</v>
      </c>
      <c r="Q13" s="9">
        <f t="shared" si="6"/>
        <v>0</v>
      </c>
      <c r="R13" s="10"/>
      <c r="S13" s="9">
        <f t="shared" si="7"/>
        <v>36.478124999999999</v>
      </c>
      <c r="T13" s="9">
        <f t="shared" si="8"/>
        <v>13314.515625</v>
      </c>
    </row>
    <row r="14" spans="2:23" x14ac:dyDescent="0.35">
      <c r="C14" s="6">
        <f t="shared" si="0"/>
        <v>9</v>
      </c>
      <c r="D14" t="s">
        <v>39</v>
      </c>
      <c r="E14" t="s">
        <v>41</v>
      </c>
      <c r="F14" t="s">
        <v>40</v>
      </c>
      <c r="G14" t="s">
        <v>41</v>
      </c>
      <c r="H14" s="7">
        <v>472.32</v>
      </c>
      <c r="I14" s="7">
        <v>1.04</v>
      </c>
      <c r="J14" s="8">
        <f t="shared" si="2"/>
        <v>473.36</v>
      </c>
      <c r="K14" s="8"/>
      <c r="L14" s="9">
        <f t="shared" si="1"/>
        <v>29.585000000000001</v>
      </c>
      <c r="M14" s="9">
        <f t="shared" si="3"/>
        <v>10798.525</v>
      </c>
      <c r="N14" s="10">
        <f t="shared" si="4"/>
        <v>2.8070774691945539E-2</v>
      </c>
      <c r="O14" s="10"/>
      <c r="P14" s="9">
        <f t="shared" si="5"/>
        <v>29.52</v>
      </c>
      <c r="Q14" s="9">
        <f t="shared" si="6"/>
        <v>10774.8</v>
      </c>
      <c r="R14" s="10"/>
      <c r="S14" s="9">
        <f t="shared" si="7"/>
        <v>6.5000000000000002E-2</v>
      </c>
      <c r="T14" s="9">
        <f t="shared" si="8"/>
        <v>23.725000000000001</v>
      </c>
    </row>
    <row r="15" spans="2:23" x14ac:dyDescent="0.35">
      <c r="C15" s="6">
        <f t="shared" si="0"/>
        <v>10</v>
      </c>
      <c r="D15" t="s">
        <v>42</v>
      </c>
      <c r="E15" t="s">
        <v>38</v>
      </c>
      <c r="F15" t="s">
        <v>43</v>
      </c>
      <c r="G15" t="s">
        <v>41</v>
      </c>
      <c r="H15" s="7">
        <v>0</v>
      </c>
      <c r="I15" s="7">
        <v>456.42</v>
      </c>
      <c r="J15" s="8">
        <f t="shared" si="2"/>
        <v>456.42</v>
      </c>
      <c r="K15" s="8"/>
      <c r="L15" s="9">
        <f t="shared" si="1"/>
        <v>28.526250000000001</v>
      </c>
      <c r="M15" s="9">
        <f t="shared" si="3"/>
        <v>10412.081250000001</v>
      </c>
      <c r="N15" s="10">
        <f t="shared" si="4"/>
        <v>2.7066213843370338E-2</v>
      </c>
      <c r="O15" s="10"/>
      <c r="P15" s="9">
        <f t="shared" si="5"/>
        <v>0</v>
      </c>
      <c r="Q15" s="9">
        <f t="shared" si="6"/>
        <v>0</v>
      </c>
      <c r="R15" s="10"/>
      <c r="S15" s="9">
        <f t="shared" si="7"/>
        <v>28.526250000000001</v>
      </c>
      <c r="T15" s="9">
        <f t="shared" si="8"/>
        <v>10412.081250000001</v>
      </c>
    </row>
    <row r="16" spans="2:23" x14ac:dyDescent="0.35">
      <c r="C16" s="6">
        <f t="shared" si="0"/>
        <v>11</v>
      </c>
      <c r="D16" t="s">
        <v>44</v>
      </c>
      <c r="E16" t="s">
        <v>21</v>
      </c>
      <c r="F16" t="s">
        <v>45</v>
      </c>
      <c r="G16" t="s">
        <v>22</v>
      </c>
      <c r="H16" s="7">
        <v>0</v>
      </c>
      <c r="I16" s="7">
        <v>432.69</v>
      </c>
      <c r="J16" s="8">
        <f t="shared" si="2"/>
        <v>432.69</v>
      </c>
      <c r="K16" s="8"/>
      <c r="L16" s="9">
        <f t="shared" si="1"/>
        <v>27.043125</v>
      </c>
      <c r="M16" s="9">
        <f t="shared" si="3"/>
        <v>9870.7406250000004</v>
      </c>
      <c r="N16" s="10">
        <f t="shared" si="4"/>
        <v>2.5658998439787719E-2</v>
      </c>
      <c r="O16" s="10"/>
      <c r="P16" s="9">
        <f t="shared" si="5"/>
        <v>0</v>
      </c>
      <c r="Q16" s="9">
        <f t="shared" si="6"/>
        <v>0</v>
      </c>
      <c r="R16" s="10"/>
      <c r="S16" s="9">
        <f t="shared" si="7"/>
        <v>27.043125</v>
      </c>
      <c r="T16" s="9">
        <f t="shared" si="8"/>
        <v>9870.7406250000004</v>
      </c>
    </row>
    <row r="17" spans="3:20" x14ac:dyDescent="0.35">
      <c r="C17" s="6">
        <f t="shared" si="0"/>
        <v>12</v>
      </c>
      <c r="D17" t="s">
        <v>46</v>
      </c>
      <c r="E17" t="s">
        <v>48</v>
      </c>
      <c r="F17" t="s">
        <v>47</v>
      </c>
      <c r="G17" t="s">
        <v>48</v>
      </c>
      <c r="H17" s="7">
        <v>0</v>
      </c>
      <c r="I17" s="7">
        <v>389.94</v>
      </c>
      <c r="J17" s="8">
        <f t="shared" si="2"/>
        <v>389.94</v>
      </c>
      <c r="K17" s="8"/>
      <c r="L17" s="9">
        <f t="shared" si="1"/>
        <v>24.37125</v>
      </c>
      <c r="M17" s="9">
        <f t="shared" si="3"/>
        <v>8895.5062500000004</v>
      </c>
      <c r="N17" s="10">
        <f t="shared" si="4"/>
        <v>2.3123875873283004E-2</v>
      </c>
      <c r="O17" s="10"/>
      <c r="P17" s="9">
        <f t="shared" si="5"/>
        <v>0</v>
      </c>
      <c r="Q17" s="9">
        <f t="shared" si="6"/>
        <v>0</v>
      </c>
      <c r="R17" s="10"/>
      <c r="S17" s="9">
        <f t="shared" si="7"/>
        <v>24.37125</v>
      </c>
      <c r="T17" s="9">
        <f t="shared" si="8"/>
        <v>8895.5062500000004</v>
      </c>
    </row>
    <row r="18" spans="3:20" x14ac:dyDescent="0.35">
      <c r="C18" s="6">
        <f t="shared" si="0"/>
        <v>13</v>
      </c>
      <c r="D18" t="s">
        <v>49</v>
      </c>
      <c r="E18" t="s">
        <v>41</v>
      </c>
      <c r="F18" t="s">
        <v>50</v>
      </c>
      <c r="G18" t="s">
        <v>41</v>
      </c>
      <c r="H18" s="7">
        <v>346.45</v>
      </c>
      <c r="I18" s="7">
        <v>0</v>
      </c>
      <c r="J18" s="8">
        <f t="shared" si="2"/>
        <v>346.45</v>
      </c>
      <c r="K18" s="8"/>
      <c r="L18" s="9">
        <f t="shared" si="1"/>
        <v>21.653124999999999</v>
      </c>
      <c r="M18" s="9">
        <f t="shared" si="3"/>
        <v>7903.390625</v>
      </c>
      <c r="N18" s="10">
        <f t="shared" si="4"/>
        <v>2.0544870483404875E-2</v>
      </c>
      <c r="O18" s="10"/>
      <c r="P18" s="9">
        <f t="shared" si="5"/>
        <v>21.653124999999999</v>
      </c>
      <c r="Q18" s="9">
        <f t="shared" si="6"/>
        <v>7903.390625</v>
      </c>
      <c r="R18" s="10"/>
      <c r="S18" s="9">
        <f t="shared" si="7"/>
        <v>0</v>
      </c>
      <c r="T18" s="9">
        <f t="shared" si="8"/>
        <v>0</v>
      </c>
    </row>
    <row r="19" spans="3:20" x14ac:dyDescent="0.35">
      <c r="C19" s="6">
        <f t="shared" si="0"/>
        <v>14</v>
      </c>
      <c r="D19" t="s">
        <v>51</v>
      </c>
      <c r="E19" t="s">
        <v>53</v>
      </c>
      <c r="F19" t="s">
        <v>52</v>
      </c>
      <c r="G19" t="s">
        <v>48</v>
      </c>
      <c r="H19" s="7">
        <v>0</v>
      </c>
      <c r="I19" s="7">
        <v>326.68</v>
      </c>
      <c r="J19" s="8">
        <f t="shared" si="2"/>
        <v>326.68</v>
      </c>
      <c r="K19" s="8"/>
      <c r="L19" s="9">
        <f t="shared" si="1"/>
        <v>20.4175</v>
      </c>
      <c r="M19" s="9">
        <f t="shared" si="3"/>
        <v>7452.3874999999998</v>
      </c>
      <c r="N19" s="10">
        <f t="shared" si="4"/>
        <v>1.9372487485982696E-2</v>
      </c>
      <c r="O19" s="10"/>
      <c r="P19" s="9">
        <f t="shared" si="5"/>
        <v>0</v>
      </c>
      <c r="Q19" s="9">
        <f t="shared" si="6"/>
        <v>0</v>
      </c>
      <c r="R19" s="10"/>
      <c r="S19" s="9">
        <f t="shared" si="7"/>
        <v>20.4175</v>
      </c>
      <c r="T19" s="9">
        <f t="shared" si="8"/>
        <v>7452.3874999999998</v>
      </c>
    </row>
    <row r="20" spans="3:20" x14ac:dyDescent="0.35">
      <c r="C20" s="6">
        <f t="shared" si="0"/>
        <v>15</v>
      </c>
      <c r="D20" t="s">
        <v>54</v>
      </c>
      <c r="E20" t="s">
        <v>21</v>
      </c>
      <c r="F20" t="s">
        <v>55</v>
      </c>
      <c r="G20" t="s">
        <v>22</v>
      </c>
      <c r="H20" s="7">
        <v>0</v>
      </c>
      <c r="I20" s="7">
        <v>311.93</v>
      </c>
      <c r="J20" s="8">
        <f t="shared" si="2"/>
        <v>311.93</v>
      </c>
      <c r="K20" s="8"/>
      <c r="L20" s="9">
        <f t="shared" si="1"/>
        <v>19.495625</v>
      </c>
      <c r="M20" s="9">
        <f t="shared" si="3"/>
        <v>7115.9031249999998</v>
      </c>
      <c r="N20" s="10">
        <f t="shared" si="4"/>
        <v>1.8497796074147737E-2</v>
      </c>
      <c r="O20" s="10"/>
      <c r="P20" s="9">
        <f t="shared" si="5"/>
        <v>0</v>
      </c>
      <c r="Q20" s="9">
        <f t="shared" si="6"/>
        <v>0</v>
      </c>
      <c r="R20" s="10"/>
      <c r="S20" s="9">
        <f t="shared" si="7"/>
        <v>19.495625</v>
      </c>
      <c r="T20" s="9">
        <f t="shared" si="8"/>
        <v>7115.9031249999998</v>
      </c>
    </row>
    <row r="21" spans="3:20" x14ac:dyDescent="0.35">
      <c r="C21" s="6">
        <f t="shared" si="0"/>
        <v>16</v>
      </c>
      <c r="D21" t="s">
        <v>56</v>
      </c>
      <c r="E21" t="s">
        <v>58</v>
      </c>
      <c r="F21" t="s">
        <v>57</v>
      </c>
      <c r="G21" t="s">
        <v>48</v>
      </c>
      <c r="H21" s="7">
        <v>0</v>
      </c>
      <c r="I21" s="7">
        <v>309.20999999999998</v>
      </c>
      <c r="J21" s="8">
        <f t="shared" si="2"/>
        <v>309.20999999999998</v>
      </c>
      <c r="K21" s="8"/>
      <c r="L21" s="9">
        <f t="shared" si="1"/>
        <v>19.325624999999999</v>
      </c>
      <c r="M21" s="9">
        <f t="shared" si="3"/>
        <v>7053.8531249999996</v>
      </c>
      <c r="N21" s="10">
        <f t="shared" si="4"/>
        <v>1.8336497047694099E-2</v>
      </c>
      <c r="O21" s="10"/>
      <c r="P21" s="9">
        <f t="shared" si="5"/>
        <v>0</v>
      </c>
      <c r="Q21" s="9">
        <f t="shared" si="6"/>
        <v>0</v>
      </c>
      <c r="R21" s="10"/>
      <c r="S21" s="9">
        <f t="shared" si="7"/>
        <v>19.325624999999999</v>
      </c>
      <c r="T21" s="9">
        <f t="shared" si="8"/>
        <v>7053.8531249999996</v>
      </c>
    </row>
    <row r="22" spans="3:20" x14ac:dyDescent="0.35">
      <c r="C22" s="6">
        <f t="shared" si="0"/>
        <v>17</v>
      </c>
      <c r="D22" t="s">
        <v>59</v>
      </c>
      <c r="E22" t="s">
        <v>61</v>
      </c>
      <c r="F22" t="s">
        <v>60</v>
      </c>
      <c r="G22" t="s">
        <v>41</v>
      </c>
      <c r="H22" s="7">
        <v>0</v>
      </c>
      <c r="I22" s="7">
        <v>264.94</v>
      </c>
      <c r="J22" s="8">
        <f t="shared" si="2"/>
        <v>264.94</v>
      </c>
      <c r="K22" s="8"/>
      <c r="L22" s="9">
        <f t="shared" si="1"/>
        <v>16.55875</v>
      </c>
      <c r="M22" s="9">
        <f t="shared" si="3"/>
        <v>6043.9437500000004</v>
      </c>
      <c r="N22" s="10">
        <f t="shared" si="4"/>
        <v>1.5711236789935887E-2</v>
      </c>
      <c r="O22" s="10"/>
      <c r="P22" s="9">
        <f t="shared" si="5"/>
        <v>0</v>
      </c>
      <c r="Q22" s="9">
        <f t="shared" si="6"/>
        <v>0</v>
      </c>
      <c r="R22" s="10"/>
      <c r="S22" s="9">
        <f t="shared" si="7"/>
        <v>16.55875</v>
      </c>
      <c r="T22" s="9">
        <f t="shared" si="8"/>
        <v>6043.9437500000004</v>
      </c>
    </row>
    <row r="23" spans="3:20" x14ac:dyDescent="0.35">
      <c r="C23" s="6">
        <f t="shared" si="0"/>
        <v>18</v>
      </c>
      <c r="D23" t="s">
        <v>62</v>
      </c>
      <c r="E23" t="s">
        <v>38</v>
      </c>
      <c r="F23" t="s">
        <v>63</v>
      </c>
      <c r="G23" t="s">
        <v>22</v>
      </c>
      <c r="H23" s="7">
        <v>245.83</v>
      </c>
      <c r="I23" s="7">
        <v>15.26</v>
      </c>
      <c r="J23" s="8">
        <f t="shared" si="2"/>
        <v>261.09000000000003</v>
      </c>
      <c r="K23" s="8"/>
      <c r="L23" s="9">
        <f t="shared" si="1"/>
        <v>16.318125000000002</v>
      </c>
      <c r="M23" s="9">
        <f t="shared" si="3"/>
        <v>5956.1156250000004</v>
      </c>
      <c r="N23" s="10">
        <f t="shared" si="4"/>
        <v>1.5482927506168797E-2</v>
      </c>
      <c r="O23" s="10"/>
      <c r="P23" s="9">
        <f t="shared" si="5"/>
        <v>15.364375000000001</v>
      </c>
      <c r="Q23" s="9">
        <f t="shared" si="6"/>
        <v>5607.9968750000007</v>
      </c>
      <c r="R23" s="10"/>
      <c r="S23" s="9">
        <f t="shared" si="7"/>
        <v>0.95374999999999999</v>
      </c>
      <c r="T23" s="9">
        <f t="shared" si="8"/>
        <v>348.11874999999998</v>
      </c>
    </row>
    <row r="24" spans="3:20" x14ac:dyDescent="0.35">
      <c r="C24" s="6">
        <f t="shared" si="0"/>
        <v>19</v>
      </c>
      <c r="D24" t="s">
        <v>64</v>
      </c>
      <c r="E24" t="s">
        <v>21</v>
      </c>
      <c r="F24" t="s">
        <v>65</v>
      </c>
      <c r="G24" t="s">
        <v>22</v>
      </c>
      <c r="H24" s="7">
        <v>207.53</v>
      </c>
      <c r="I24" s="7">
        <v>34.44</v>
      </c>
      <c r="J24" s="8">
        <f t="shared" si="2"/>
        <v>241.97</v>
      </c>
      <c r="K24" s="8"/>
      <c r="L24" s="9">
        <f t="shared" si="1"/>
        <v>15.123125</v>
      </c>
      <c r="M24" s="9">
        <f t="shared" si="3"/>
        <v>5519.9406250000002</v>
      </c>
      <c r="N24" s="10">
        <f t="shared" si="4"/>
        <v>1.4349090231980019E-2</v>
      </c>
      <c r="O24" s="10"/>
      <c r="P24" s="9">
        <f t="shared" si="5"/>
        <v>12.970625</v>
      </c>
      <c r="Q24" s="9">
        <f t="shared" si="6"/>
        <v>4734.2781249999998</v>
      </c>
      <c r="R24" s="10"/>
      <c r="S24" s="9">
        <f t="shared" si="7"/>
        <v>2.1524999999999999</v>
      </c>
      <c r="T24" s="9">
        <f t="shared" si="8"/>
        <v>785.66249999999991</v>
      </c>
    </row>
    <row r="25" spans="3:20" x14ac:dyDescent="0.35">
      <c r="C25" s="6">
        <f t="shared" si="0"/>
        <v>20</v>
      </c>
      <c r="D25" t="s">
        <v>66</v>
      </c>
      <c r="E25" t="s">
        <v>38</v>
      </c>
      <c r="F25" t="s">
        <v>67</v>
      </c>
      <c r="G25" t="s">
        <v>22</v>
      </c>
      <c r="H25" s="7">
        <v>0</v>
      </c>
      <c r="I25" s="7">
        <v>220.87</v>
      </c>
      <c r="J25" s="8">
        <f t="shared" si="2"/>
        <v>220.87</v>
      </c>
      <c r="K25" s="8"/>
      <c r="L25" s="9">
        <f t="shared" si="1"/>
        <v>13.804375</v>
      </c>
      <c r="M25" s="9">
        <f t="shared" si="3"/>
        <v>5038.5968750000002</v>
      </c>
      <c r="N25" s="10">
        <f t="shared" si="4"/>
        <v>1.3097836754711026E-2</v>
      </c>
      <c r="O25" s="10"/>
      <c r="P25" s="9">
        <f t="shared" si="5"/>
        <v>0</v>
      </c>
      <c r="Q25" s="9">
        <f t="shared" si="6"/>
        <v>0</v>
      </c>
      <c r="R25" s="10"/>
      <c r="S25" s="9">
        <f t="shared" si="7"/>
        <v>13.804375</v>
      </c>
      <c r="T25" s="9">
        <f t="shared" si="8"/>
        <v>5038.5968750000002</v>
      </c>
    </row>
    <row r="26" spans="3:20" x14ac:dyDescent="0.35">
      <c r="C26" s="6">
        <f t="shared" si="0"/>
        <v>21</v>
      </c>
      <c r="D26" t="s">
        <v>68</v>
      </c>
      <c r="E26" t="s">
        <v>27</v>
      </c>
      <c r="F26" t="s">
        <v>69</v>
      </c>
      <c r="G26" t="s">
        <v>22</v>
      </c>
      <c r="H26" s="7">
        <v>0</v>
      </c>
      <c r="I26" s="7">
        <v>210.38</v>
      </c>
      <c r="J26" s="8">
        <f t="shared" si="2"/>
        <v>210.38</v>
      </c>
      <c r="K26" s="8"/>
      <c r="L26" s="9">
        <f t="shared" si="1"/>
        <v>13.14875</v>
      </c>
      <c r="M26" s="9">
        <f t="shared" si="3"/>
        <v>4799.2937499999998</v>
      </c>
      <c r="N26" s="10">
        <f t="shared" si="4"/>
        <v>1.2475768082836534E-2</v>
      </c>
      <c r="O26" s="10"/>
      <c r="P26" s="9">
        <f t="shared" si="5"/>
        <v>0</v>
      </c>
      <c r="Q26" s="9">
        <f t="shared" si="6"/>
        <v>0</v>
      </c>
      <c r="R26" s="10"/>
      <c r="S26" s="9">
        <f t="shared" si="7"/>
        <v>13.14875</v>
      </c>
      <c r="T26" s="9">
        <f t="shared" si="8"/>
        <v>4799.2937499999998</v>
      </c>
    </row>
    <row r="27" spans="3:20" x14ac:dyDescent="0.35">
      <c r="C27" s="6">
        <f t="shared" si="0"/>
        <v>22</v>
      </c>
      <c r="D27" t="s">
        <v>70</v>
      </c>
      <c r="E27" t="s">
        <v>61</v>
      </c>
      <c r="F27" t="s">
        <v>71</v>
      </c>
      <c r="G27" t="s">
        <v>41</v>
      </c>
      <c r="H27" s="7">
        <v>0</v>
      </c>
      <c r="I27" s="7">
        <v>202.89</v>
      </c>
      <c r="J27" s="8">
        <f t="shared" si="2"/>
        <v>202.89</v>
      </c>
      <c r="K27" s="8"/>
      <c r="L27" s="9">
        <f t="shared" si="1"/>
        <v>12.680624999999999</v>
      </c>
      <c r="M27" s="9">
        <f t="shared" si="3"/>
        <v>4628.4281249999995</v>
      </c>
      <c r="N27" s="10">
        <f t="shared" si="4"/>
        <v>1.2031602748962375E-2</v>
      </c>
      <c r="O27" s="10"/>
      <c r="P27" s="9">
        <f t="shared" si="5"/>
        <v>0</v>
      </c>
      <c r="Q27" s="9">
        <f t="shared" si="6"/>
        <v>0</v>
      </c>
      <c r="R27" s="10"/>
      <c r="S27" s="9">
        <f t="shared" si="7"/>
        <v>12.680624999999999</v>
      </c>
      <c r="T27" s="9">
        <f t="shared" si="8"/>
        <v>4628.4281249999995</v>
      </c>
    </row>
    <row r="28" spans="3:20" x14ac:dyDescent="0.35">
      <c r="C28" s="6">
        <f t="shared" si="0"/>
        <v>23</v>
      </c>
      <c r="D28" t="s">
        <v>72</v>
      </c>
      <c r="E28" t="s">
        <v>74</v>
      </c>
      <c r="F28" t="s">
        <v>73</v>
      </c>
      <c r="G28" t="s">
        <v>41</v>
      </c>
      <c r="H28" s="7">
        <v>0</v>
      </c>
      <c r="I28" s="7">
        <v>194.69</v>
      </c>
      <c r="J28" s="8">
        <f t="shared" si="2"/>
        <v>194.69</v>
      </c>
      <c r="K28" s="8"/>
      <c r="L28" s="9">
        <f t="shared" si="1"/>
        <v>12.168125</v>
      </c>
      <c r="M28" s="9">
        <f t="shared" si="3"/>
        <v>4441.3656250000004</v>
      </c>
      <c r="N28" s="10">
        <f t="shared" si="4"/>
        <v>1.1545333625094805E-2</v>
      </c>
      <c r="O28" s="10"/>
      <c r="P28" s="9">
        <f t="shared" si="5"/>
        <v>0</v>
      </c>
      <c r="Q28" s="9">
        <f t="shared" si="6"/>
        <v>0</v>
      </c>
      <c r="R28" s="10"/>
      <c r="S28" s="9">
        <f t="shared" si="7"/>
        <v>12.168125</v>
      </c>
      <c r="T28" s="9">
        <f t="shared" si="8"/>
        <v>4441.3656250000004</v>
      </c>
    </row>
    <row r="29" spans="3:20" x14ac:dyDescent="0.35">
      <c r="C29" s="6">
        <f t="shared" si="0"/>
        <v>24</v>
      </c>
      <c r="D29" t="s">
        <v>75</v>
      </c>
      <c r="E29" t="s">
        <v>41</v>
      </c>
      <c r="F29" t="s">
        <v>76</v>
      </c>
      <c r="G29" t="s">
        <v>41</v>
      </c>
      <c r="H29" s="7">
        <v>0</v>
      </c>
      <c r="I29" s="7">
        <v>193.93</v>
      </c>
      <c r="J29" s="8">
        <f t="shared" si="2"/>
        <v>193.93</v>
      </c>
      <c r="K29" s="8"/>
      <c r="L29" s="9">
        <f t="shared" si="1"/>
        <v>12.120625</v>
      </c>
      <c r="M29" s="9">
        <f t="shared" si="3"/>
        <v>4424.0281249999998</v>
      </c>
      <c r="N29" s="10">
        <f t="shared" si="4"/>
        <v>1.1500264779468056E-2</v>
      </c>
      <c r="O29" s="10"/>
      <c r="P29" s="9">
        <f t="shared" si="5"/>
        <v>0</v>
      </c>
      <c r="Q29" s="9">
        <f t="shared" si="6"/>
        <v>0</v>
      </c>
      <c r="R29" s="10"/>
      <c r="S29" s="9">
        <f t="shared" si="7"/>
        <v>12.120625</v>
      </c>
      <c r="T29" s="9">
        <f t="shared" si="8"/>
        <v>4424.0281249999998</v>
      </c>
    </row>
    <row r="30" spans="3:20" x14ac:dyDescent="0.35">
      <c r="C30" s="6">
        <f t="shared" si="0"/>
        <v>25</v>
      </c>
      <c r="D30" t="s">
        <v>77</v>
      </c>
      <c r="E30" t="s">
        <v>79</v>
      </c>
      <c r="F30" t="s">
        <v>78</v>
      </c>
      <c r="G30" t="s">
        <v>48</v>
      </c>
      <c r="H30" s="7">
        <v>0</v>
      </c>
      <c r="I30" s="7">
        <v>187.93</v>
      </c>
      <c r="J30" s="8">
        <f t="shared" si="2"/>
        <v>187.93</v>
      </c>
      <c r="K30" s="8"/>
      <c r="L30" s="9">
        <f t="shared" si="1"/>
        <v>11.745625</v>
      </c>
      <c r="M30" s="9">
        <f t="shared" si="3"/>
        <v>4287.1531249999998</v>
      </c>
      <c r="N30" s="10">
        <f t="shared" si="4"/>
        <v>1.1144458103467394E-2</v>
      </c>
      <c r="O30" s="10"/>
      <c r="P30" s="9">
        <f t="shared" si="5"/>
        <v>0</v>
      </c>
      <c r="Q30" s="9">
        <f t="shared" si="6"/>
        <v>0</v>
      </c>
      <c r="R30" s="10"/>
      <c r="S30" s="9">
        <f t="shared" si="7"/>
        <v>11.745625</v>
      </c>
      <c r="T30" s="9">
        <f t="shared" si="8"/>
        <v>4287.1531249999998</v>
      </c>
    </row>
    <row r="31" spans="3:20" x14ac:dyDescent="0.35">
      <c r="C31" s="6">
        <f t="shared" si="0"/>
        <v>26</v>
      </c>
      <c r="D31" t="s">
        <v>80</v>
      </c>
      <c r="E31" t="s">
        <v>21</v>
      </c>
      <c r="F31" t="s">
        <v>81</v>
      </c>
      <c r="G31" t="s">
        <v>22</v>
      </c>
      <c r="H31" s="7">
        <v>161.27000000000001</v>
      </c>
      <c r="I31" s="7">
        <v>0.72</v>
      </c>
      <c r="J31" s="8">
        <f t="shared" si="2"/>
        <v>161.99</v>
      </c>
      <c r="K31" s="8"/>
      <c r="L31" s="9">
        <f t="shared" si="1"/>
        <v>10.124375000000001</v>
      </c>
      <c r="M31" s="9">
        <f t="shared" si="3"/>
        <v>3695.3968750000004</v>
      </c>
      <c r="N31" s="10">
        <f t="shared" si="4"/>
        <v>9.6061872408911998E-3</v>
      </c>
      <c r="O31" s="10"/>
      <c r="P31" s="9">
        <f t="shared" si="5"/>
        <v>10.079375000000001</v>
      </c>
      <c r="Q31" s="9">
        <f t="shared" si="6"/>
        <v>3678.9718750000002</v>
      </c>
      <c r="R31" s="10"/>
      <c r="S31" s="9">
        <f t="shared" si="7"/>
        <v>4.4999999999999998E-2</v>
      </c>
      <c r="T31" s="9">
        <f t="shared" si="8"/>
        <v>16.425000000000001</v>
      </c>
    </row>
    <row r="32" spans="3:20" x14ac:dyDescent="0.35">
      <c r="C32" s="6">
        <f t="shared" si="0"/>
        <v>27</v>
      </c>
      <c r="D32" t="s">
        <v>82</v>
      </c>
      <c r="E32" t="s">
        <v>21</v>
      </c>
      <c r="F32" t="s">
        <v>83</v>
      </c>
      <c r="G32" t="s">
        <v>22</v>
      </c>
      <c r="H32" s="7">
        <v>0</v>
      </c>
      <c r="I32" s="7">
        <v>161.97999999999999</v>
      </c>
      <c r="J32" s="8">
        <f t="shared" si="2"/>
        <v>161.97999999999999</v>
      </c>
      <c r="K32" s="8"/>
      <c r="L32" s="9">
        <f t="shared" si="1"/>
        <v>10.123749999999999</v>
      </c>
      <c r="M32" s="9">
        <f t="shared" si="3"/>
        <v>3695.1687499999998</v>
      </c>
      <c r="N32" s="10">
        <f t="shared" si="4"/>
        <v>9.6055942297645306E-3</v>
      </c>
      <c r="O32" s="10"/>
      <c r="P32" s="9">
        <f t="shared" si="5"/>
        <v>0</v>
      </c>
      <c r="Q32" s="9">
        <f t="shared" si="6"/>
        <v>0</v>
      </c>
      <c r="R32" s="10"/>
      <c r="S32" s="9">
        <f t="shared" si="7"/>
        <v>10.123749999999999</v>
      </c>
      <c r="T32" s="9">
        <f t="shared" si="8"/>
        <v>3695.1687499999998</v>
      </c>
    </row>
    <row r="33" spans="3:20" x14ac:dyDescent="0.35">
      <c r="C33" s="6">
        <f t="shared" si="0"/>
        <v>28</v>
      </c>
      <c r="D33" t="s">
        <v>84</v>
      </c>
      <c r="E33" t="s">
        <v>21</v>
      </c>
      <c r="F33" t="s">
        <v>85</v>
      </c>
      <c r="G33" t="s">
        <v>22</v>
      </c>
      <c r="H33" s="7">
        <v>0</v>
      </c>
      <c r="I33" s="7">
        <v>156.80000000000001</v>
      </c>
      <c r="J33" s="8">
        <f t="shared" si="2"/>
        <v>156.80000000000001</v>
      </c>
      <c r="K33" s="8"/>
      <c r="L33" s="9">
        <f t="shared" si="1"/>
        <v>9.8000000000000007</v>
      </c>
      <c r="M33" s="9">
        <f t="shared" si="3"/>
        <v>3577.0000000000005</v>
      </c>
      <c r="N33" s="10">
        <f t="shared" si="4"/>
        <v>9.2984144661506264E-3</v>
      </c>
      <c r="O33" s="10"/>
      <c r="P33" s="9">
        <f t="shared" si="5"/>
        <v>0</v>
      </c>
      <c r="Q33" s="9">
        <f t="shared" si="6"/>
        <v>0</v>
      </c>
      <c r="R33" s="10"/>
      <c r="S33" s="9">
        <f t="shared" si="7"/>
        <v>9.8000000000000007</v>
      </c>
      <c r="T33" s="9">
        <f t="shared" si="8"/>
        <v>3577.0000000000005</v>
      </c>
    </row>
    <row r="34" spans="3:20" x14ac:dyDescent="0.35">
      <c r="C34" s="6">
        <f t="shared" si="0"/>
        <v>29</v>
      </c>
      <c r="D34" t="s">
        <v>86</v>
      </c>
      <c r="E34" t="s">
        <v>88</v>
      </c>
      <c r="F34" t="s">
        <v>87</v>
      </c>
      <c r="G34" t="s">
        <v>41</v>
      </c>
      <c r="H34" s="7">
        <v>0</v>
      </c>
      <c r="I34" s="7">
        <v>153.07</v>
      </c>
      <c r="J34" s="8">
        <f t="shared" si="2"/>
        <v>153.07</v>
      </c>
      <c r="K34" s="8"/>
      <c r="L34" s="9">
        <f t="shared" si="1"/>
        <v>9.5668749999999996</v>
      </c>
      <c r="M34" s="9">
        <f t="shared" si="3"/>
        <v>3491.9093749999997</v>
      </c>
      <c r="N34" s="10">
        <f t="shared" si="4"/>
        <v>9.077221315903548E-3</v>
      </c>
      <c r="O34" s="10"/>
      <c r="P34" s="9">
        <f t="shared" si="5"/>
        <v>0</v>
      </c>
      <c r="Q34" s="9">
        <f t="shared" si="6"/>
        <v>0</v>
      </c>
      <c r="R34" s="10"/>
      <c r="S34" s="9">
        <f t="shared" si="7"/>
        <v>9.5668749999999996</v>
      </c>
      <c r="T34" s="9">
        <f t="shared" si="8"/>
        <v>3491.9093749999997</v>
      </c>
    </row>
    <row r="35" spans="3:20" x14ac:dyDescent="0.35">
      <c r="C35" s="6">
        <f t="shared" si="0"/>
        <v>30</v>
      </c>
      <c r="D35" t="s">
        <v>89</v>
      </c>
      <c r="E35" t="s">
        <v>74</v>
      </c>
      <c r="F35" t="s">
        <v>90</v>
      </c>
      <c r="G35" t="s">
        <v>41</v>
      </c>
      <c r="H35" s="7">
        <v>0</v>
      </c>
      <c r="I35" s="7">
        <v>151.63999999999999</v>
      </c>
      <c r="J35" s="8">
        <f t="shared" si="2"/>
        <v>151.63999999999999</v>
      </c>
      <c r="K35" s="8"/>
      <c r="L35" s="9">
        <f t="shared" si="1"/>
        <v>9.4774999999999991</v>
      </c>
      <c r="M35" s="9">
        <f t="shared" si="3"/>
        <v>3459.2874999999999</v>
      </c>
      <c r="N35" s="10">
        <f t="shared" si="4"/>
        <v>8.9924207247900571E-3</v>
      </c>
      <c r="O35" s="10"/>
      <c r="P35" s="9">
        <f t="shared" si="5"/>
        <v>0</v>
      </c>
      <c r="Q35" s="9">
        <f t="shared" si="6"/>
        <v>0</v>
      </c>
      <c r="R35" s="10"/>
      <c r="S35" s="9">
        <f t="shared" si="7"/>
        <v>9.4774999999999991</v>
      </c>
      <c r="T35" s="9">
        <f t="shared" si="8"/>
        <v>3459.2874999999999</v>
      </c>
    </row>
    <row r="36" spans="3:20" x14ac:dyDescent="0.35">
      <c r="C36" s="6">
        <f t="shared" si="0"/>
        <v>31</v>
      </c>
      <c r="D36" t="s">
        <v>91</v>
      </c>
      <c r="E36" t="s">
        <v>88</v>
      </c>
      <c r="F36" t="s">
        <v>92</v>
      </c>
      <c r="G36" t="s">
        <v>41</v>
      </c>
      <c r="H36" s="7">
        <v>0</v>
      </c>
      <c r="I36" s="7">
        <v>136.54</v>
      </c>
      <c r="J36" s="8">
        <f t="shared" si="2"/>
        <v>136.54</v>
      </c>
      <c r="K36" s="8"/>
      <c r="L36" s="9">
        <f t="shared" si="1"/>
        <v>8.5337499999999995</v>
      </c>
      <c r="M36" s="9">
        <f t="shared" si="3"/>
        <v>3114.8187499999999</v>
      </c>
      <c r="N36" s="10">
        <f t="shared" si="4"/>
        <v>8.0969739235217247E-3</v>
      </c>
      <c r="O36" s="10"/>
      <c r="P36" s="9">
        <f t="shared" si="5"/>
        <v>0</v>
      </c>
      <c r="Q36" s="9">
        <f t="shared" si="6"/>
        <v>0</v>
      </c>
      <c r="R36" s="10"/>
      <c r="S36" s="9">
        <f t="shared" si="7"/>
        <v>8.5337499999999995</v>
      </c>
      <c r="T36" s="9">
        <f t="shared" si="8"/>
        <v>3114.8187499999999</v>
      </c>
    </row>
    <row r="37" spans="3:20" x14ac:dyDescent="0.35">
      <c r="C37" s="6">
        <f t="shared" si="0"/>
        <v>32</v>
      </c>
      <c r="D37" t="s">
        <v>93</v>
      </c>
      <c r="E37" t="s">
        <v>21</v>
      </c>
      <c r="F37" t="s">
        <v>94</v>
      </c>
      <c r="G37" t="s">
        <v>22</v>
      </c>
      <c r="H37" s="7">
        <v>0</v>
      </c>
      <c r="I37" s="7">
        <v>134.06</v>
      </c>
      <c r="J37" s="8">
        <f t="shared" si="2"/>
        <v>134.06</v>
      </c>
      <c r="K37" s="8"/>
      <c r="L37" s="9">
        <f t="shared" si="1"/>
        <v>8.3787500000000001</v>
      </c>
      <c r="M37" s="9">
        <f t="shared" si="3"/>
        <v>3058.2437500000001</v>
      </c>
      <c r="N37" s="10">
        <f t="shared" si="4"/>
        <v>7.9499071641081186E-3</v>
      </c>
      <c r="O37" s="10"/>
      <c r="P37" s="9">
        <f t="shared" si="5"/>
        <v>0</v>
      </c>
      <c r="Q37" s="9">
        <f t="shared" si="6"/>
        <v>0</v>
      </c>
      <c r="R37" s="10"/>
      <c r="S37" s="9">
        <f t="shared" si="7"/>
        <v>8.3787500000000001</v>
      </c>
      <c r="T37" s="9">
        <f t="shared" si="8"/>
        <v>3058.2437500000001</v>
      </c>
    </row>
    <row r="38" spans="3:20" x14ac:dyDescent="0.35">
      <c r="C38" s="6">
        <f t="shared" ref="C38:C69" si="9">+RANK(J38,$J$6:$J$137,0)</f>
        <v>33</v>
      </c>
      <c r="D38" t="s">
        <v>95</v>
      </c>
      <c r="E38" t="s">
        <v>21</v>
      </c>
      <c r="F38" t="s">
        <v>96</v>
      </c>
      <c r="G38" t="s">
        <v>22</v>
      </c>
      <c r="H38" s="7">
        <v>0</v>
      </c>
      <c r="I38" s="7">
        <v>129.11000000000001</v>
      </c>
      <c r="J38" s="8">
        <f t="shared" si="2"/>
        <v>129.11000000000001</v>
      </c>
      <c r="K38" s="8"/>
      <c r="L38" s="9">
        <f t="shared" ref="L38:L69" si="10">+J38/$W$4</f>
        <v>8.0693750000000009</v>
      </c>
      <c r="M38" s="9">
        <f t="shared" si="3"/>
        <v>2945.3218750000001</v>
      </c>
      <c r="N38" s="10">
        <f t="shared" si="4"/>
        <v>7.6563666564075736E-3</v>
      </c>
      <c r="O38" s="10"/>
      <c r="P38" s="9">
        <f t="shared" si="5"/>
        <v>0</v>
      </c>
      <c r="Q38" s="9">
        <f t="shared" si="6"/>
        <v>0</v>
      </c>
      <c r="R38" s="10"/>
      <c r="S38" s="9">
        <f t="shared" si="7"/>
        <v>8.0693750000000009</v>
      </c>
      <c r="T38" s="9">
        <f t="shared" si="8"/>
        <v>2945.3218750000001</v>
      </c>
    </row>
    <row r="39" spans="3:20" x14ac:dyDescent="0.35">
      <c r="C39" s="6">
        <f t="shared" si="9"/>
        <v>34</v>
      </c>
      <c r="D39" t="s">
        <v>97</v>
      </c>
      <c r="E39" t="s">
        <v>21</v>
      </c>
      <c r="F39" t="s">
        <v>98</v>
      </c>
      <c r="G39" t="s">
        <v>22</v>
      </c>
      <c r="H39" s="7">
        <v>121.56</v>
      </c>
      <c r="I39" s="7">
        <v>0</v>
      </c>
      <c r="J39" s="8">
        <f t="shared" si="2"/>
        <v>121.56</v>
      </c>
      <c r="K39" s="8"/>
      <c r="L39" s="9">
        <f t="shared" si="10"/>
        <v>7.5975000000000001</v>
      </c>
      <c r="M39" s="9">
        <f t="shared" si="3"/>
        <v>2773.0875000000001</v>
      </c>
      <c r="N39" s="10">
        <f t="shared" si="4"/>
        <v>7.2086432557734066E-3</v>
      </c>
      <c r="O39" s="10"/>
      <c r="P39" s="9">
        <f t="shared" si="5"/>
        <v>7.5975000000000001</v>
      </c>
      <c r="Q39" s="9">
        <f t="shared" si="6"/>
        <v>2773.0875000000001</v>
      </c>
      <c r="R39" s="10"/>
      <c r="S39" s="9">
        <f t="shared" si="7"/>
        <v>0</v>
      </c>
      <c r="T39" s="9">
        <f t="shared" si="8"/>
        <v>0</v>
      </c>
    </row>
    <row r="40" spans="3:20" x14ac:dyDescent="0.35">
      <c r="C40" s="6">
        <f t="shared" si="9"/>
        <v>35</v>
      </c>
      <c r="D40" t="s">
        <v>99</v>
      </c>
      <c r="E40" t="s">
        <v>32</v>
      </c>
      <c r="F40" t="s">
        <v>100</v>
      </c>
      <c r="G40" t="s">
        <v>33</v>
      </c>
      <c r="H40" s="7">
        <v>0</v>
      </c>
      <c r="I40" s="7">
        <v>121.04</v>
      </c>
      <c r="J40" s="8">
        <f t="shared" si="2"/>
        <v>121.04</v>
      </c>
      <c r="K40" s="8"/>
      <c r="L40" s="9">
        <f t="shared" si="10"/>
        <v>7.5650000000000004</v>
      </c>
      <c r="M40" s="9">
        <f t="shared" si="3"/>
        <v>2761.2250000000004</v>
      </c>
      <c r="N40" s="10">
        <f t="shared" si="4"/>
        <v>7.1778066771866827E-3</v>
      </c>
      <c r="O40" s="10"/>
      <c r="P40" s="9">
        <f t="shared" si="5"/>
        <v>0</v>
      </c>
      <c r="Q40" s="9">
        <f t="shared" si="6"/>
        <v>0</v>
      </c>
      <c r="R40" s="10"/>
      <c r="S40" s="9">
        <f t="shared" si="7"/>
        <v>7.5650000000000004</v>
      </c>
      <c r="T40" s="9">
        <f t="shared" si="8"/>
        <v>2761.2250000000004</v>
      </c>
    </row>
    <row r="41" spans="3:20" x14ac:dyDescent="0.35">
      <c r="C41" s="6">
        <f t="shared" si="9"/>
        <v>36</v>
      </c>
      <c r="D41" t="s">
        <v>101</v>
      </c>
      <c r="E41" t="s">
        <v>74</v>
      </c>
      <c r="F41" t="s">
        <v>102</v>
      </c>
      <c r="G41" t="s">
        <v>41</v>
      </c>
      <c r="H41" s="7">
        <v>0</v>
      </c>
      <c r="I41" s="7">
        <v>120.49</v>
      </c>
      <c r="J41" s="8">
        <f t="shared" si="2"/>
        <v>120.49</v>
      </c>
      <c r="K41" s="8"/>
      <c r="L41" s="9">
        <f t="shared" si="10"/>
        <v>7.5306249999999997</v>
      </c>
      <c r="M41" s="9">
        <f t="shared" si="3"/>
        <v>2748.6781249999999</v>
      </c>
      <c r="N41" s="10">
        <f t="shared" si="4"/>
        <v>7.1451910652199548E-3</v>
      </c>
      <c r="O41" s="10"/>
      <c r="P41" s="9">
        <f t="shared" si="5"/>
        <v>0</v>
      </c>
      <c r="Q41" s="9">
        <f t="shared" si="6"/>
        <v>0</v>
      </c>
      <c r="R41" s="10"/>
      <c r="S41" s="9">
        <f t="shared" si="7"/>
        <v>7.5306249999999997</v>
      </c>
      <c r="T41" s="9">
        <f t="shared" si="8"/>
        <v>2748.6781249999999</v>
      </c>
    </row>
    <row r="42" spans="3:20" x14ac:dyDescent="0.35">
      <c r="C42" s="6">
        <f t="shared" si="9"/>
        <v>37</v>
      </c>
      <c r="D42" t="s">
        <v>103</v>
      </c>
      <c r="E42" t="s">
        <v>21</v>
      </c>
      <c r="F42" t="s">
        <v>104</v>
      </c>
      <c r="G42" t="s">
        <v>22</v>
      </c>
      <c r="H42" s="7">
        <v>0</v>
      </c>
      <c r="I42" s="7">
        <v>108.97</v>
      </c>
      <c r="J42" s="8">
        <f t="shared" si="2"/>
        <v>108.97</v>
      </c>
      <c r="K42" s="8"/>
      <c r="L42" s="9">
        <f t="shared" si="10"/>
        <v>6.8106249999999999</v>
      </c>
      <c r="M42" s="9">
        <f t="shared" si="3"/>
        <v>2485.8781250000002</v>
      </c>
      <c r="N42" s="10">
        <f t="shared" si="4"/>
        <v>6.4620422472986844E-3</v>
      </c>
      <c r="O42" s="10"/>
      <c r="P42" s="9">
        <f t="shared" si="5"/>
        <v>0</v>
      </c>
      <c r="Q42" s="9">
        <f t="shared" si="6"/>
        <v>0</v>
      </c>
      <c r="R42" s="10"/>
      <c r="S42" s="9">
        <f t="shared" si="7"/>
        <v>6.8106249999999999</v>
      </c>
      <c r="T42" s="9">
        <f t="shared" si="8"/>
        <v>2485.8781250000002</v>
      </c>
    </row>
    <row r="43" spans="3:20" x14ac:dyDescent="0.35">
      <c r="C43" s="6">
        <f t="shared" si="9"/>
        <v>38</v>
      </c>
      <c r="D43" t="s">
        <v>105</v>
      </c>
      <c r="E43" t="s">
        <v>74</v>
      </c>
      <c r="F43" t="s">
        <v>106</v>
      </c>
      <c r="G43" t="s">
        <v>41</v>
      </c>
      <c r="H43" s="7">
        <v>0</v>
      </c>
      <c r="I43" s="7">
        <v>106.59</v>
      </c>
      <c r="J43" s="8">
        <f t="shared" si="2"/>
        <v>106.59</v>
      </c>
      <c r="K43" s="8"/>
      <c r="L43" s="9">
        <f t="shared" si="10"/>
        <v>6.6618750000000002</v>
      </c>
      <c r="M43" s="9">
        <f t="shared" si="3"/>
        <v>2431.5843749999999</v>
      </c>
      <c r="N43" s="10">
        <f t="shared" si="4"/>
        <v>6.3209055991517559E-3</v>
      </c>
      <c r="O43" s="10"/>
      <c r="P43" s="9">
        <f t="shared" si="5"/>
        <v>0</v>
      </c>
      <c r="Q43" s="9">
        <f t="shared" si="6"/>
        <v>0</v>
      </c>
      <c r="R43" s="10"/>
      <c r="S43" s="9">
        <f t="shared" si="7"/>
        <v>6.6618750000000002</v>
      </c>
      <c r="T43" s="9">
        <f t="shared" si="8"/>
        <v>2431.5843749999999</v>
      </c>
    </row>
    <row r="44" spans="3:20" x14ac:dyDescent="0.35">
      <c r="C44" s="6">
        <f t="shared" si="9"/>
        <v>39</v>
      </c>
      <c r="D44" t="s">
        <v>107</v>
      </c>
      <c r="E44" t="s">
        <v>18</v>
      </c>
      <c r="F44" t="s">
        <v>108</v>
      </c>
      <c r="G44" t="s">
        <v>18</v>
      </c>
      <c r="H44" s="7">
        <v>0</v>
      </c>
      <c r="I44" s="7">
        <v>96.76</v>
      </c>
      <c r="J44" s="8">
        <f t="shared" si="2"/>
        <v>96.76</v>
      </c>
      <c r="K44" s="8"/>
      <c r="L44" s="9">
        <f t="shared" si="10"/>
        <v>6.0475000000000003</v>
      </c>
      <c r="M44" s="9">
        <f t="shared" si="3"/>
        <v>2207.3375000000001</v>
      </c>
      <c r="N44" s="10">
        <f t="shared" si="4"/>
        <v>5.737975661637338E-3</v>
      </c>
      <c r="O44" s="10"/>
      <c r="P44" s="9">
        <f t="shared" si="5"/>
        <v>0</v>
      </c>
      <c r="Q44" s="9">
        <f t="shared" si="6"/>
        <v>0</v>
      </c>
      <c r="R44" s="10"/>
      <c r="S44" s="9">
        <f t="shared" si="7"/>
        <v>6.0475000000000003</v>
      </c>
      <c r="T44" s="9">
        <f t="shared" si="8"/>
        <v>2207.3375000000001</v>
      </c>
    </row>
    <row r="45" spans="3:20" x14ac:dyDescent="0.35">
      <c r="C45" s="6">
        <f t="shared" si="9"/>
        <v>40</v>
      </c>
      <c r="D45" t="s">
        <v>109</v>
      </c>
      <c r="E45" t="s">
        <v>21</v>
      </c>
      <c r="F45" t="s">
        <v>110</v>
      </c>
      <c r="G45" t="s">
        <v>22</v>
      </c>
      <c r="H45" s="7">
        <v>0</v>
      </c>
      <c r="I45" s="7">
        <v>96.37</v>
      </c>
      <c r="J45" s="8">
        <f t="shared" si="2"/>
        <v>96.37</v>
      </c>
      <c r="K45" s="8"/>
      <c r="L45" s="9">
        <f t="shared" si="10"/>
        <v>6.0231250000000003</v>
      </c>
      <c r="M45" s="9">
        <f t="shared" si="3"/>
        <v>2198.4406250000002</v>
      </c>
      <c r="N45" s="10">
        <f t="shared" si="4"/>
        <v>5.7148482276972948E-3</v>
      </c>
      <c r="O45" s="10"/>
      <c r="P45" s="9">
        <f t="shared" si="5"/>
        <v>0</v>
      </c>
      <c r="Q45" s="9">
        <f t="shared" si="6"/>
        <v>0</v>
      </c>
      <c r="R45" s="10"/>
      <c r="S45" s="9">
        <f t="shared" si="7"/>
        <v>6.0231250000000003</v>
      </c>
      <c r="T45" s="9">
        <f t="shared" si="8"/>
        <v>2198.4406250000002</v>
      </c>
    </row>
    <row r="46" spans="3:20" x14ac:dyDescent="0.35">
      <c r="C46" s="6">
        <f t="shared" si="9"/>
        <v>41</v>
      </c>
      <c r="D46" t="s">
        <v>111</v>
      </c>
      <c r="E46" t="s">
        <v>113</v>
      </c>
      <c r="F46" t="s">
        <v>112</v>
      </c>
      <c r="G46" t="s">
        <v>113</v>
      </c>
      <c r="H46" s="7">
        <v>0</v>
      </c>
      <c r="I46" s="7">
        <v>93.93</v>
      </c>
      <c r="J46" s="8">
        <f t="shared" si="2"/>
        <v>93.93</v>
      </c>
      <c r="K46" s="8"/>
      <c r="L46" s="9">
        <f t="shared" si="10"/>
        <v>5.8706250000000004</v>
      </c>
      <c r="M46" s="9">
        <f t="shared" si="3"/>
        <v>2142.7781250000003</v>
      </c>
      <c r="N46" s="10">
        <f t="shared" si="4"/>
        <v>5.5701535127903592E-3</v>
      </c>
      <c r="O46" s="10"/>
      <c r="P46" s="9">
        <f t="shared" si="5"/>
        <v>0</v>
      </c>
      <c r="Q46" s="9">
        <f t="shared" si="6"/>
        <v>0</v>
      </c>
      <c r="R46" s="10"/>
      <c r="S46" s="9">
        <f t="shared" si="7"/>
        <v>5.8706250000000004</v>
      </c>
      <c r="T46" s="9">
        <f t="shared" si="8"/>
        <v>2142.7781250000003</v>
      </c>
    </row>
    <row r="47" spans="3:20" x14ac:dyDescent="0.35">
      <c r="C47" s="6">
        <f t="shared" si="9"/>
        <v>42</v>
      </c>
      <c r="D47" t="s">
        <v>114</v>
      </c>
      <c r="E47" t="s">
        <v>18</v>
      </c>
      <c r="F47" t="s">
        <v>115</v>
      </c>
      <c r="G47" t="s">
        <v>18</v>
      </c>
      <c r="H47" s="7">
        <v>0</v>
      </c>
      <c r="I47" s="7">
        <v>93.64</v>
      </c>
      <c r="J47" s="8">
        <f t="shared" si="2"/>
        <v>93.64</v>
      </c>
      <c r="K47" s="8"/>
      <c r="L47" s="9">
        <f t="shared" si="10"/>
        <v>5.8525</v>
      </c>
      <c r="M47" s="9">
        <f t="shared" si="3"/>
        <v>2136.1624999999999</v>
      </c>
      <c r="N47" s="10">
        <f t="shared" si="4"/>
        <v>5.5529561901169937E-3</v>
      </c>
      <c r="O47" s="10"/>
      <c r="P47" s="9">
        <f t="shared" si="5"/>
        <v>0</v>
      </c>
      <c r="Q47" s="9">
        <f t="shared" si="6"/>
        <v>0</v>
      </c>
      <c r="R47" s="10"/>
      <c r="S47" s="9">
        <f t="shared" si="7"/>
        <v>5.8525</v>
      </c>
      <c r="T47" s="9">
        <f t="shared" si="8"/>
        <v>2136.1624999999999</v>
      </c>
    </row>
    <row r="48" spans="3:20" x14ac:dyDescent="0.35">
      <c r="C48" s="6">
        <f t="shared" si="9"/>
        <v>43</v>
      </c>
      <c r="D48" t="s">
        <v>116</v>
      </c>
      <c r="E48" t="s">
        <v>21</v>
      </c>
      <c r="F48" t="s">
        <v>117</v>
      </c>
      <c r="G48" t="s">
        <v>22</v>
      </c>
      <c r="H48" s="7">
        <v>0</v>
      </c>
      <c r="I48" s="7">
        <v>91.66</v>
      </c>
      <c r="J48" s="8">
        <f t="shared" si="2"/>
        <v>91.66</v>
      </c>
      <c r="K48" s="8"/>
      <c r="L48" s="9">
        <f t="shared" si="10"/>
        <v>5.7287499999999998</v>
      </c>
      <c r="M48" s="9">
        <f t="shared" si="3"/>
        <v>2090.9937500000001</v>
      </c>
      <c r="N48" s="10">
        <f t="shared" si="4"/>
        <v>5.4355399870367757E-3</v>
      </c>
      <c r="O48" s="10"/>
      <c r="P48" s="9">
        <f t="shared" si="5"/>
        <v>0</v>
      </c>
      <c r="Q48" s="9">
        <f t="shared" si="6"/>
        <v>0</v>
      </c>
      <c r="R48" s="10"/>
      <c r="S48" s="9">
        <f t="shared" si="7"/>
        <v>5.7287499999999998</v>
      </c>
      <c r="T48" s="9">
        <f t="shared" si="8"/>
        <v>2090.9937500000001</v>
      </c>
    </row>
    <row r="49" spans="3:20" x14ac:dyDescent="0.35">
      <c r="C49" s="6">
        <f t="shared" si="9"/>
        <v>44</v>
      </c>
      <c r="D49" t="s">
        <v>118</v>
      </c>
      <c r="E49" t="s">
        <v>21</v>
      </c>
      <c r="F49" t="s">
        <v>119</v>
      </c>
      <c r="G49" t="s">
        <v>22</v>
      </c>
      <c r="H49" s="7">
        <v>0</v>
      </c>
      <c r="I49" s="7">
        <v>90.2</v>
      </c>
      <c r="J49" s="8">
        <f t="shared" si="2"/>
        <v>90.2</v>
      </c>
      <c r="K49" s="8"/>
      <c r="L49" s="9">
        <f t="shared" si="10"/>
        <v>5.6375000000000002</v>
      </c>
      <c r="M49" s="9">
        <f t="shared" si="3"/>
        <v>2057.6875</v>
      </c>
      <c r="N49" s="10">
        <f t="shared" si="4"/>
        <v>5.3489603625432817E-3</v>
      </c>
      <c r="O49" s="10"/>
      <c r="P49" s="9">
        <f t="shared" si="5"/>
        <v>0</v>
      </c>
      <c r="Q49" s="9">
        <f t="shared" si="6"/>
        <v>0</v>
      </c>
      <c r="R49" s="10"/>
      <c r="S49" s="9">
        <f t="shared" si="7"/>
        <v>5.6375000000000002</v>
      </c>
      <c r="T49" s="9">
        <f t="shared" si="8"/>
        <v>2057.6875</v>
      </c>
    </row>
    <row r="50" spans="3:20" x14ac:dyDescent="0.35">
      <c r="C50" s="6">
        <f t="shared" si="9"/>
        <v>45</v>
      </c>
      <c r="D50" t="s">
        <v>120</v>
      </c>
      <c r="E50" t="s">
        <v>122</v>
      </c>
      <c r="F50" t="s">
        <v>121</v>
      </c>
      <c r="G50" t="s">
        <v>122</v>
      </c>
      <c r="H50" s="7">
        <v>0</v>
      </c>
      <c r="I50" s="7">
        <v>77.28</v>
      </c>
      <c r="J50" s="8">
        <f t="shared" si="2"/>
        <v>77.28</v>
      </c>
      <c r="K50" s="8"/>
      <c r="L50" s="9">
        <f t="shared" si="10"/>
        <v>4.83</v>
      </c>
      <c r="M50" s="9">
        <f t="shared" si="3"/>
        <v>1762.95</v>
      </c>
      <c r="N50" s="10">
        <f t="shared" si="4"/>
        <v>4.5827899868885226E-3</v>
      </c>
      <c r="O50" s="10"/>
      <c r="P50" s="9">
        <f t="shared" si="5"/>
        <v>0</v>
      </c>
      <c r="Q50" s="9">
        <f t="shared" si="6"/>
        <v>0</v>
      </c>
      <c r="R50" s="10"/>
      <c r="S50" s="9">
        <f t="shared" si="7"/>
        <v>4.83</v>
      </c>
      <c r="T50" s="9">
        <f t="shared" si="8"/>
        <v>1762.95</v>
      </c>
    </row>
    <row r="51" spans="3:20" x14ac:dyDescent="0.35">
      <c r="C51" s="6">
        <f t="shared" si="9"/>
        <v>46</v>
      </c>
      <c r="D51" t="s">
        <v>123</v>
      </c>
      <c r="E51" t="s">
        <v>125</v>
      </c>
      <c r="F51" t="s">
        <v>124</v>
      </c>
      <c r="G51" t="s">
        <v>41</v>
      </c>
      <c r="H51" s="7">
        <v>0</v>
      </c>
      <c r="I51" s="7">
        <v>76.48</v>
      </c>
      <c r="J51" s="8">
        <f t="shared" si="2"/>
        <v>76.48</v>
      </c>
      <c r="K51" s="8"/>
      <c r="L51" s="9">
        <f t="shared" si="10"/>
        <v>4.78</v>
      </c>
      <c r="M51" s="9">
        <f t="shared" si="3"/>
        <v>1744.7</v>
      </c>
      <c r="N51" s="10">
        <f t="shared" si="4"/>
        <v>4.5353490967551015E-3</v>
      </c>
      <c r="O51" s="10"/>
      <c r="P51" s="9">
        <f t="shared" si="5"/>
        <v>0</v>
      </c>
      <c r="Q51" s="9">
        <f t="shared" si="6"/>
        <v>0</v>
      </c>
      <c r="R51" s="10"/>
      <c r="S51" s="9">
        <f t="shared" si="7"/>
        <v>4.78</v>
      </c>
      <c r="T51" s="9">
        <f t="shared" si="8"/>
        <v>1744.7</v>
      </c>
    </row>
    <row r="52" spans="3:20" x14ac:dyDescent="0.35">
      <c r="C52" s="6">
        <f t="shared" si="9"/>
        <v>47</v>
      </c>
      <c r="D52" t="s">
        <v>126</v>
      </c>
      <c r="E52" t="s">
        <v>38</v>
      </c>
      <c r="F52" t="s">
        <v>127</v>
      </c>
      <c r="G52" t="s">
        <v>22</v>
      </c>
      <c r="H52" s="7">
        <v>0</v>
      </c>
      <c r="I52" s="7">
        <v>75.77</v>
      </c>
      <c r="J52" s="8">
        <f t="shared" si="2"/>
        <v>75.77</v>
      </c>
      <c r="K52" s="8"/>
      <c r="L52" s="9">
        <f t="shared" si="10"/>
        <v>4.7356249999999998</v>
      </c>
      <c r="M52" s="9">
        <f t="shared" si="3"/>
        <v>1728.503125</v>
      </c>
      <c r="N52" s="10">
        <f t="shared" si="4"/>
        <v>4.4932453067616897E-3</v>
      </c>
      <c r="O52" s="10"/>
      <c r="P52" s="9">
        <f t="shared" si="5"/>
        <v>0</v>
      </c>
      <c r="Q52" s="9">
        <f t="shared" si="6"/>
        <v>0</v>
      </c>
      <c r="R52" s="10"/>
      <c r="S52" s="9">
        <f t="shared" si="7"/>
        <v>4.7356249999999998</v>
      </c>
      <c r="T52" s="9">
        <f t="shared" si="8"/>
        <v>1728.503125</v>
      </c>
    </row>
    <row r="53" spans="3:20" x14ac:dyDescent="0.35">
      <c r="C53" s="6">
        <f t="shared" si="9"/>
        <v>48</v>
      </c>
      <c r="D53" t="s">
        <v>128</v>
      </c>
      <c r="E53" t="s">
        <v>130</v>
      </c>
      <c r="F53" t="s">
        <v>129</v>
      </c>
      <c r="G53" t="s">
        <v>33</v>
      </c>
      <c r="H53" s="7">
        <v>0</v>
      </c>
      <c r="I53" s="7">
        <v>75.69</v>
      </c>
      <c r="J53" s="8">
        <f t="shared" si="2"/>
        <v>75.69</v>
      </c>
      <c r="K53" s="8"/>
      <c r="L53" s="9">
        <f t="shared" si="10"/>
        <v>4.7306249999999999</v>
      </c>
      <c r="M53" s="9">
        <f t="shared" si="3"/>
        <v>1726.6781249999999</v>
      </c>
      <c r="N53" s="10">
        <f t="shared" si="4"/>
        <v>4.4885012177483478E-3</v>
      </c>
      <c r="O53" s="10"/>
      <c r="P53" s="9">
        <f t="shared" si="5"/>
        <v>0</v>
      </c>
      <c r="Q53" s="9">
        <f t="shared" si="6"/>
        <v>0</v>
      </c>
      <c r="R53" s="10"/>
      <c r="S53" s="9">
        <f t="shared" si="7"/>
        <v>4.7306249999999999</v>
      </c>
      <c r="T53" s="9">
        <f t="shared" si="8"/>
        <v>1726.6781249999999</v>
      </c>
    </row>
    <row r="54" spans="3:20" x14ac:dyDescent="0.35">
      <c r="C54" s="6">
        <f t="shared" si="9"/>
        <v>49</v>
      </c>
      <c r="D54" t="s">
        <v>131</v>
      </c>
      <c r="E54" t="s">
        <v>113</v>
      </c>
      <c r="F54" t="s">
        <v>132</v>
      </c>
      <c r="G54" t="s">
        <v>113</v>
      </c>
      <c r="H54" s="7">
        <v>0</v>
      </c>
      <c r="I54" s="7">
        <v>68.400000000000006</v>
      </c>
      <c r="J54" s="8">
        <f t="shared" si="2"/>
        <v>68.400000000000006</v>
      </c>
      <c r="K54" s="8"/>
      <c r="L54" s="9">
        <f t="shared" si="10"/>
        <v>4.2750000000000004</v>
      </c>
      <c r="M54" s="9">
        <f t="shared" si="3"/>
        <v>1560.3750000000002</v>
      </c>
      <c r="N54" s="10">
        <f t="shared" si="4"/>
        <v>4.056196106407544E-3</v>
      </c>
      <c r="O54" s="10"/>
      <c r="P54" s="9">
        <f t="shared" si="5"/>
        <v>0</v>
      </c>
      <c r="Q54" s="9">
        <f t="shared" si="6"/>
        <v>0</v>
      </c>
      <c r="R54" s="10"/>
      <c r="S54" s="9">
        <f t="shared" si="7"/>
        <v>4.2750000000000004</v>
      </c>
      <c r="T54" s="9">
        <f t="shared" si="8"/>
        <v>1560.3750000000002</v>
      </c>
    </row>
    <row r="55" spans="3:20" x14ac:dyDescent="0.35">
      <c r="C55" s="6">
        <f t="shared" si="9"/>
        <v>50</v>
      </c>
      <c r="D55" t="s">
        <v>133</v>
      </c>
      <c r="E55" t="s">
        <v>38</v>
      </c>
      <c r="F55" t="s">
        <v>134</v>
      </c>
      <c r="G55" t="s">
        <v>22</v>
      </c>
      <c r="H55" s="7">
        <v>0</v>
      </c>
      <c r="I55" s="7">
        <v>67.98</v>
      </c>
      <c r="J55" s="8">
        <f t="shared" si="2"/>
        <v>67.98</v>
      </c>
      <c r="K55" s="8"/>
      <c r="L55" s="9">
        <f t="shared" si="10"/>
        <v>4.2487500000000002</v>
      </c>
      <c r="M55" s="9">
        <f t="shared" si="3"/>
        <v>1550.79375</v>
      </c>
      <c r="N55" s="10">
        <f t="shared" si="4"/>
        <v>4.0312896390874977E-3</v>
      </c>
      <c r="O55" s="10"/>
      <c r="P55" s="9">
        <f t="shared" si="5"/>
        <v>0</v>
      </c>
      <c r="Q55" s="9">
        <f t="shared" si="6"/>
        <v>0</v>
      </c>
      <c r="R55" s="10"/>
      <c r="S55" s="9">
        <f t="shared" si="7"/>
        <v>4.2487500000000002</v>
      </c>
      <c r="T55" s="9">
        <f t="shared" si="8"/>
        <v>1550.79375</v>
      </c>
    </row>
    <row r="56" spans="3:20" x14ac:dyDescent="0.35">
      <c r="C56" s="6">
        <f t="shared" si="9"/>
        <v>51</v>
      </c>
      <c r="D56" t="s">
        <v>135</v>
      </c>
      <c r="E56" t="s">
        <v>130</v>
      </c>
      <c r="F56" t="s">
        <v>136</v>
      </c>
      <c r="G56" t="s">
        <v>33</v>
      </c>
      <c r="H56" s="7">
        <v>0</v>
      </c>
      <c r="I56" s="7">
        <v>66.849999999999994</v>
      </c>
      <c r="J56" s="8">
        <f t="shared" si="2"/>
        <v>66.849999999999994</v>
      </c>
      <c r="K56" s="8"/>
      <c r="L56" s="9">
        <f t="shared" si="10"/>
        <v>4.1781249999999996</v>
      </c>
      <c r="M56" s="9">
        <f t="shared" si="3"/>
        <v>1525.0156249999998</v>
      </c>
      <c r="N56" s="10">
        <f t="shared" si="4"/>
        <v>3.9642793817740388E-3</v>
      </c>
      <c r="O56" s="10"/>
      <c r="P56" s="9">
        <f t="shared" si="5"/>
        <v>0</v>
      </c>
      <c r="Q56" s="9">
        <f t="shared" si="6"/>
        <v>0</v>
      </c>
      <c r="R56" s="10"/>
      <c r="S56" s="9">
        <f t="shared" si="7"/>
        <v>4.1781249999999996</v>
      </c>
      <c r="T56" s="9">
        <f t="shared" si="8"/>
        <v>1525.0156249999998</v>
      </c>
    </row>
    <row r="57" spans="3:20" x14ac:dyDescent="0.35">
      <c r="C57" s="6">
        <f t="shared" si="9"/>
        <v>52</v>
      </c>
      <c r="D57" t="s">
        <v>137</v>
      </c>
      <c r="E57" t="s">
        <v>21</v>
      </c>
      <c r="F57" t="s">
        <v>138</v>
      </c>
      <c r="G57" t="s">
        <v>22</v>
      </c>
      <c r="H57" s="7">
        <v>0</v>
      </c>
      <c r="I57" s="7">
        <v>65.75</v>
      </c>
      <c r="J57" s="8">
        <f t="shared" si="2"/>
        <v>65.75</v>
      </c>
      <c r="K57" s="8"/>
      <c r="L57" s="9">
        <f t="shared" si="10"/>
        <v>4.109375</v>
      </c>
      <c r="M57" s="9">
        <f t="shared" si="3"/>
        <v>1499.921875</v>
      </c>
      <c r="N57" s="10">
        <f t="shared" si="4"/>
        <v>3.8990481578405848E-3</v>
      </c>
      <c r="O57" s="10"/>
      <c r="P57" s="9">
        <f t="shared" si="5"/>
        <v>0</v>
      </c>
      <c r="Q57" s="9">
        <f t="shared" si="6"/>
        <v>0</v>
      </c>
      <c r="R57" s="10"/>
      <c r="S57" s="9">
        <f t="shared" si="7"/>
        <v>4.109375</v>
      </c>
      <c r="T57" s="9">
        <f t="shared" si="8"/>
        <v>1499.921875</v>
      </c>
    </row>
    <row r="58" spans="3:20" x14ac:dyDescent="0.35">
      <c r="C58" s="6">
        <f t="shared" si="9"/>
        <v>53</v>
      </c>
      <c r="D58" t="s">
        <v>139</v>
      </c>
      <c r="E58" t="s">
        <v>74</v>
      </c>
      <c r="F58" t="s">
        <v>140</v>
      </c>
      <c r="G58" t="s">
        <v>41</v>
      </c>
      <c r="H58" s="7">
        <v>0</v>
      </c>
      <c r="I58" s="7">
        <v>64.63</v>
      </c>
      <c r="J58" s="8">
        <f t="shared" si="2"/>
        <v>64.63</v>
      </c>
      <c r="K58" s="8"/>
      <c r="L58" s="9">
        <f t="shared" si="10"/>
        <v>4.0393749999999997</v>
      </c>
      <c r="M58" s="9">
        <f t="shared" si="3"/>
        <v>1474.3718749999998</v>
      </c>
      <c r="N58" s="10">
        <f t="shared" si="4"/>
        <v>3.8326309116537942E-3</v>
      </c>
      <c r="O58" s="10"/>
      <c r="P58" s="9">
        <f t="shared" si="5"/>
        <v>0</v>
      </c>
      <c r="Q58" s="9">
        <f t="shared" si="6"/>
        <v>0</v>
      </c>
      <c r="R58" s="10"/>
      <c r="S58" s="9">
        <f t="shared" si="7"/>
        <v>4.0393749999999997</v>
      </c>
      <c r="T58" s="9">
        <f t="shared" si="8"/>
        <v>1474.3718749999998</v>
      </c>
    </row>
    <row r="59" spans="3:20" x14ac:dyDescent="0.35">
      <c r="C59" s="6">
        <f t="shared" si="9"/>
        <v>54</v>
      </c>
      <c r="D59" t="s">
        <v>141</v>
      </c>
      <c r="E59" t="s">
        <v>143</v>
      </c>
      <c r="F59" t="s">
        <v>142</v>
      </c>
      <c r="G59" t="s">
        <v>144</v>
      </c>
      <c r="H59" s="7">
        <v>0</v>
      </c>
      <c r="I59" s="7">
        <v>62.68</v>
      </c>
      <c r="J59" s="8">
        <f t="shared" si="2"/>
        <v>62.68</v>
      </c>
      <c r="K59" s="8"/>
      <c r="L59" s="9">
        <f t="shared" si="10"/>
        <v>3.9175</v>
      </c>
      <c r="M59" s="9">
        <f t="shared" si="3"/>
        <v>1429.8875</v>
      </c>
      <c r="N59" s="10">
        <f t="shared" si="4"/>
        <v>3.7169937419535793E-3</v>
      </c>
      <c r="O59" s="10"/>
      <c r="P59" s="9">
        <f t="shared" si="5"/>
        <v>0</v>
      </c>
      <c r="Q59" s="9">
        <f t="shared" si="6"/>
        <v>0</v>
      </c>
      <c r="R59" s="10"/>
      <c r="S59" s="9">
        <f t="shared" si="7"/>
        <v>3.9175</v>
      </c>
      <c r="T59" s="9">
        <f t="shared" si="8"/>
        <v>1429.8875</v>
      </c>
    </row>
    <row r="60" spans="3:20" x14ac:dyDescent="0.35">
      <c r="C60" s="6">
        <f t="shared" si="9"/>
        <v>55</v>
      </c>
      <c r="D60" t="s">
        <v>145</v>
      </c>
      <c r="E60" t="s">
        <v>18</v>
      </c>
      <c r="F60" t="s">
        <v>146</v>
      </c>
      <c r="G60" t="s">
        <v>18</v>
      </c>
      <c r="H60" s="7">
        <v>0</v>
      </c>
      <c r="I60" s="7">
        <v>60.55</v>
      </c>
      <c r="J60" s="8">
        <f t="shared" si="2"/>
        <v>60.55</v>
      </c>
      <c r="K60" s="8"/>
      <c r="L60" s="9">
        <f t="shared" si="10"/>
        <v>3.7843749999999998</v>
      </c>
      <c r="M60" s="9">
        <f t="shared" si="3"/>
        <v>1381.296875</v>
      </c>
      <c r="N60" s="10">
        <f t="shared" si="4"/>
        <v>3.5906823719733445E-3</v>
      </c>
      <c r="O60" s="10"/>
      <c r="P60" s="9">
        <f t="shared" si="5"/>
        <v>0</v>
      </c>
      <c r="Q60" s="9">
        <f t="shared" si="6"/>
        <v>0</v>
      </c>
      <c r="R60" s="10"/>
      <c r="S60" s="9">
        <f t="shared" si="7"/>
        <v>3.7843749999999998</v>
      </c>
      <c r="T60" s="9">
        <f t="shared" si="8"/>
        <v>1381.296875</v>
      </c>
    </row>
    <row r="61" spans="3:20" x14ac:dyDescent="0.35">
      <c r="C61" s="6">
        <f t="shared" si="9"/>
        <v>56</v>
      </c>
      <c r="D61" t="s">
        <v>147</v>
      </c>
      <c r="E61" t="s">
        <v>38</v>
      </c>
      <c r="F61" t="s">
        <v>148</v>
      </c>
      <c r="G61" t="s">
        <v>22</v>
      </c>
      <c r="H61" s="7">
        <v>0</v>
      </c>
      <c r="I61" s="7">
        <v>58.03</v>
      </c>
      <c r="J61" s="8">
        <f t="shared" si="2"/>
        <v>58.03</v>
      </c>
      <c r="K61" s="8"/>
      <c r="L61" s="9">
        <f t="shared" si="10"/>
        <v>3.6268750000000001</v>
      </c>
      <c r="M61" s="9">
        <f t="shared" si="3"/>
        <v>1323.809375</v>
      </c>
      <c r="N61" s="10">
        <f t="shared" si="4"/>
        <v>3.4412435680530665E-3</v>
      </c>
      <c r="O61" s="10"/>
      <c r="P61" s="9">
        <f t="shared" si="5"/>
        <v>0</v>
      </c>
      <c r="Q61" s="9">
        <f t="shared" si="6"/>
        <v>0</v>
      </c>
      <c r="R61" s="10"/>
      <c r="S61" s="9">
        <f t="shared" si="7"/>
        <v>3.6268750000000001</v>
      </c>
      <c r="T61" s="9">
        <f t="shared" si="8"/>
        <v>1323.809375</v>
      </c>
    </row>
    <row r="62" spans="3:20" x14ac:dyDescent="0.35">
      <c r="C62" s="6">
        <f t="shared" si="9"/>
        <v>57</v>
      </c>
      <c r="D62" t="s">
        <v>149</v>
      </c>
      <c r="E62" t="s">
        <v>38</v>
      </c>
      <c r="F62" t="s">
        <v>150</v>
      </c>
      <c r="G62" t="s">
        <v>41</v>
      </c>
      <c r="H62" s="7">
        <v>0</v>
      </c>
      <c r="I62" s="7">
        <v>54.77</v>
      </c>
      <c r="J62" s="8">
        <f t="shared" si="2"/>
        <v>54.77</v>
      </c>
      <c r="K62" s="8"/>
      <c r="L62" s="9">
        <f t="shared" si="10"/>
        <v>3.4231250000000002</v>
      </c>
      <c r="M62" s="9">
        <f t="shared" si="3"/>
        <v>1249.4406250000002</v>
      </c>
      <c r="N62" s="10">
        <f t="shared" si="4"/>
        <v>3.247921940759374E-3</v>
      </c>
      <c r="O62" s="10"/>
      <c r="P62" s="9">
        <f t="shared" si="5"/>
        <v>0</v>
      </c>
      <c r="Q62" s="9">
        <f t="shared" si="6"/>
        <v>0</v>
      </c>
      <c r="R62" s="10"/>
      <c r="S62" s="9">
        <f t="shared" si="7"/>
        <v>3.4231250000000002</v>
      </c>
      <c r="T62" s="9">
        <f t="shared" si="8"/>
        <v>1249.4406250000002</v>
      </c>
    </row>
    <row r="63" spans="3:20" x14ac:dyDescent="0.35">
      <c r="C63" s="6">
        <f t="shared" si="9"/>
        <v>58</v>
      </c>
      <c r="D63" t="s">
        <v>151</v>
      </c>
      <c r="E63" t="s">
        <v>21</v>
      </c>
      <c r="F63" t="s">
        <v>152</v>
      </c>
      <c r="G63" t="s">
        <v>22</v>
      </c>
      <c r="H63" s="7">
        <v>47.46</v>
      </c>
      <c r="I63" s="7">
        <v>4.54</v>
      </c>
      <c r="J63" s="8">
        <f t="shared" si="2"/>
        <v>52</v>
      </c>
      <c r="K63" s="8"/>
      <c r="L63" s="9">
        <f t="shared" si="10"/>
        <v>3.25</v>
      </c>
      <c r="M63" s="9">
        <f t="shared" si="3"/>
        <v>1186.25</v>
      </c>
      <c r="N63" s="10">
        <f t="shared" si="4"/>
        <v>3.0836578586724015E-3</v>
      </c>
      <c r="O63" s="10"/>
      <c r="P63" s="9">
        <f t="shared" si="5"/>
        <v>2.9662500000000001</v>
      </c>
      <c r="Q63" s="9">
        <f t="shared" si="6"/>
        <v>1082.6812500000001</v>
      </c>
      <c r="R63" s="10"/>
      <c r="S63" s="9">
        <f t="shared" si="7"/>
        <v>0.28375</v>
      </c>
      <c r="T63" s="9">
        <f t="shared" si="8"/>
        <v>103.56874999999999</v>
      </c>
    </row>
    <row r="64" spans="3:20" x14ac:dyDescent="0.35">
      <c r="C64" s="6">
        <f t="shared" si="9"/>
        <v>59</v>
      </c>
      <c r="D64" t="s">
        <v>153</v>
      </c>
      <c r="E64" t="s">
        <v>155</v>
      </c>
      <c r="F64" t="s">
        <v>154</v>
      </c>
      <c r="G64" t="s">
        <v>122</v>
      </c>
      <c r="H64" s="7">
        <v>0</v>
      </c>
      <c r="I64" s="7">
        <v>51.26</v>
      </c>
      <c r="J64" s="8">
        <f t="shared" si="2"/>
        <v>51.26</v>
      </c>
      <c r="K64" s="8"/>
      <c r="L64" s="9">
        <f t="shared" si="10"/>
        <v>3.2037499999999999</v>
      </c>
      <c r="M64" s="9">
        <f t="shared" si="3"/>
        <v>1169.3687499999999</v>
      </c>
      <c r="N64" s="10">
        <f t="shared" si="4"/>
        <v>3.0397750352989866E-3</v>
      </c>
      <c r="O64" s="10"/>
      <c r="P64" s="9">
        <f t="shared" si="5"/>
        <v>0</v>
      </c>
      <c r="Q64" s="9">
        <f t="shared" si="6"/>
        <v>0</v>
      </c>
      <c r="R64" s="10"/>
      <c r="S64" s="9">
        <f t="shared" si="7"/>
        <v>3.2037499999999999</v>
      </c>
      <c r="T64" s="9">
        <f t="shared" si="8"/>
        <v>1169.3687499999999</v>
      </c>
    </row>
    <row r="65" spans="3:20" x14ac:dyDescent="0.35">
      <c r="C65" s="6">
        <f t="shared" si="9"/>
        <v>60</v>
      </c>
      <c r="D65" t="s">
        <v>156</v>
      </c>
      <c r="E65" t="s">
        <v>74</v>
      </c>
      <c r="F65" t="s">
        <v>157</v>
      </c>
      <c r="G65" t="s">
        <v>41</v>
      </c>
      <c r="H65" s="7">
        <v>0</v>
      </c>
      <c r="I65" s="7">
        <v>50.23</v>
      </c>
      <c r="J65" s="8">
        <f t="shared" si="2"/>
        <v>50.23</v>
      </c>
      <c r="K65" s="8"/>
      <c r="L65" s="9">
        <f t="shared" si="10"/>
        <v>3.1393749999999998</v>
      </c>
      <c r="M65" s="9">
        <f t="shared" si="3"/>
        <v>1145.8718749999998</v>
      </c>
      <c r="N65" s="10">
        <f t="shared" si="4"/>
        <v>2.9786948892522062E-3</v>
      </c>
      <c r="O65" s="10"/>
      <c r="P65" s="9">
        <f t="shared" si="5"/>
        <v>0</v>
      </c>
      <c r="Q65" s="9">
        <f t="shared" si="6"/>
        <v>0</v>
      </c>
      <c r="R65" s="10"/>
      <c r="S65" s="9">
        <f t="shared" si="7"/>
        <v>3.1393749999999998</v>
      </c>
      <c r="T65" s="9">
        <f t="shared" si="8"/>
        <v>1145.8718749999998</v>
      </c>
    </row>
    <row r="66" spans="3:20" x14ac:dyDescent="0.35">
      <c r="C66" s="6">
        <f t="shared" si="9"/>
        <v>61</v>
      </c>
      <c r="D66" t="s">
        <v>158</v>
      </c>
      <c r="E66" t="s">
        <v>21</v>
      </c>
      <c r="F66" t="s">
        <v>159</v>
      </c>
      <c r="G66" t="s">
        <v>22</v>
      </c>
      <c r="H66" s="7">
        <v>0</v>
      </c>
      <c r="I66" s="7">
        <v>44.28</v>
      </c>
      <c r="J66" s="8">
        <f t="shared" si="2"/>
        <v>44.28</v>
      </c>
      <c r="K66" s="8"/>
      <c r="L66" s="9">
        <f t="shared" si="10"/>
        <v>2.7675000000000001</v>
      </c>
      <c r="M66" s="9">
        <f t="shared" si="3"/>
        <v>1010.1375</v>
      </c>
      <c r="N66" s="10">
        <f t="shared" si="4"/>
        <v>2.6258532688848836E-3</v>
      </c>
      <c r="O66" s="10"/>
      <c r="P66" s="9">
        <f t="shared" si="5"/>
        <v>0</v>
      </c>
      <c r="Q66" s="9">
        <f t="shared" si="6"/>
        <v>0</v>
      </c>
      <c r="R66" s="10"/>
      <c r="S66" s="9">
        <f t="shared" si="7"/>
        <v>2.7675000000000001</v>
      </c>
      <c r="T66" s="9">
        <f t="shared" si="8"/>
        <v>1010.1375</v>
      </c>
    </row>
    <row r="67" spans="3:20" x14ac:dyDescent="0.35">
      <c r="C67" s="6">
        <f t="shared" si="9"/>
        <v>62</v>
      </c>
      <c r="D67" t="s">
        <v>160</v>
      </c>
      <c r="E67" t="s">
        <v>21</v>
      </c>
      <c r="F67" t="s">
        <v>161</v>
      </c>
      <c r="G67" t="s">
        <v>22</v>
      </c>
      <c r="H67" s="7">
        <v>0</v>
      </c>
      <c r="I67" s="7">
        <v>39.81</v>
      </c>
      <c r="J67" s="8">
        <f t="shared" si="2"/>
        <v>39.81</v>
      </c>
      <c r="K67" s="8"/>
      <c r="L67" s="9">
        <f t="shared" si="10"/>
        <v>2.4881250000000001</v>
      </c>
      <c r="M67" s="9">
        <f t="shared" si="3"/>
        <v>908.16562500000009</v>
      </c>
      <c r="N67" s="10">
        <f t="shared" si="4"/>
        <v>2.3607772952643907E-3</v>
      </c>
      <c r="O67" s="10"/>
      <c r="P67" s="9">
        <f t="shared" si="5"/>
        <v>0</v>
      </c>
      <c r="Q67" s="9">
        <f t="shared" si="6"/>
        <v>0</v>
      </c>
      <c r="R67" s="10"/>
      <c r="S67" s="9">
        <f t="shared" si="7"/>
        <v>2.4881250000000001</v>
      </c>
      <c r="T67" s="9">
        <f t="shared" si="8"/>
        <v>908.16562500000009</v>
      </c>
    </row>
    <row r="68" spans="3:20" x14ac:dyDescent="0.35">
      <c r="C68" s="6">
        <f t="shared" si="9"/>
        <v>63</v>
      </c>
      <c r="D68" t="s">
        <v>162</v>
      </c>
      <c r="E68" t="s">
        <v>38</v>
      </c>
      <c r="F68" t="s">
        <v>163</v>
      </c>
      <c r="G68" t="s">
        <v>22</v>
      </c>
      <c r="H68" s="7">
        <v>0</v>
      </c>
      <c r="I68" s="7">
        <v>35.76</v>
      </c>
      <c r="J68" s="8">
        <f t="shared" si="2"/>
        <v>35.76</v>
      </c>
      <c r="K68" s="8"/>
      <c r="L68" s="9">
        <f t="shared" si="10"/>
        <v>2.2349999999999999</v>
      </c>
      <c r="M68" s="9">
        <f t="shared" si="3"/>
        <v>815.77499999999998</v>
      </c>
      <c r="N68" s="10">
        <f t="shared" si="4"/>
        <v>2.1206077889639437E-3</v>
      </c>
      <c r="O68" s="10"/>
      <c r="P68" s="9">
        <f t="shared" si="5"/>
        <v>0</v>
      </c>
      <c r="Q68" s="9">
        <f t="shared" si="6"/>
        <v>0</v>
      </c>
      <c r="R68" s="10"/>
      <c r="S68" s="9">
        <f t="shared" si="7"/>
        <v>2.2349999999999999</v>
      </c>
      <c r="T68" s="9">
        <f t="shared" si="8"/>
        <v>815.77499999999998</v>
      </c>
    </row>
    <row r="69" spans="3:20" x14ac:dyDescent="0.35">
      <c r="C69" s="6">
        <f t="shared" si="9"/>
        <v>64</v>
      </c>
      <c r="D69" t="s">
        <v>164</v>
      </c>
      <c r="E69" t="s">
        <v>21</v>
      </c>
      <c r="F69" t="s">
        <v>165</v>
      </c>
      <c r="G69" t="s">
        <v>22</v>
      </c>
      <c r="H69" s="7">
        <v>0</v>
      </c>
      <c r="I69" s="7">
        <v>31.76</v>
      </c>
      <c r="J69" s="8">
        <f t="shared" si="2"/>
        <v>31.76</v>
      </c>
      <c r="K69" s="8"/>
      <c r="L69" s="9">
        <f t="shared" si="10"/>
        <v>1.9850000000000001</v>
      </c>
      <c r="M69" s="9">
        <f t="shared" si="3"/>
        <v>724.52500000000009</v>
      </c>
      <c r="N69" s="10">
        <f t="shared" si="4"/>
        <v>1.8834033382968361E-3</v>
      </c>
      <c r="O69" s="10"/>
      <c r="P69" s="9">
        <f t="shared" si="5"/>
        <v>0</v>
      </c>
      <c r="Q69" s="9">
        <f t="shared" si="6"/>
        <v>0</v>
      </c>
      <c r="R69" s="10"/>
      <c r="S69" s="9">
        <f t="shared" si="7"/>
        <v>1.9850000000000001</v>
      </c>
      <c r="T69" s="9">
        <f t="shared" si="8"/>
        <v>724.52500000000009</v>
      </c>
    </row>
    <row r="70" spans="3:20" x14ac:dyDescent="0.35">
      <c r="C70" s="6">
        <f t="shared" ref="C70:C101" si="11">+RANK(J70,$J$6:$J$137,0)</f>
        <v>65</v>
      </c>
      <c r="D70" t="s">
        <v>166</v>
      </c>
      <c r="E70" t="s">
        <v>21</v>
      </c>
      <c r="F70" t="s">
        <v>167</v>
      </c>
      <c r="G70" t="s">
        <v>22</v>
      </c>
      <c r="H70" s="7">
        <v>30.7</v>
      </c>
      <c r="I70" s="7">
        <v>0</v>
      </c>
      <c r="J70" s="8">
        <f t="shared" si="2"/>
        <v>30.7</v>
      </c>
      <c r="K70" s="8"/>
      <c r="L70" s="9">
        <f t="shared" ref="L70:L101" si="12">+J70/$W$4</f>
        <v>1.91875</v>
      </c>
      <c r="M70" s="9">
        <f t="shared" si="3"/>
        <v>700.34375</v>
      </c>
      <c r="N70" s="10">
        <f t="shared" si="4"/>
        <v>1.8205441588700524E-3</v>
      </c>
      <c r="O70" s="10"/>
      <c r="P70" s="9">
        <f t="shared" si="5"/>
        <v>1.91875</v>
      </c>
      <c r="Q70" s="9">
        <f t="shared" si="6"/>
        <v>700.34375</v>
      </c>
      <c r="R70" s="10"/>
      <c r="S70" s="9">
        <f t="shared" si="7"/>
        <v>0</v>
      </c>
      <c r="T70" s="9">
        <f t="shared" si="8"/>
        <v>0</v>
      </c>
    </row>
    <row r="71" spans="3:20" x14ac:dyDescent="0.35">
      <c r="C71" s="6">
        <f t="shared" si="11"/>
        <v>66</v>
      </c>
      <c r="D71" t="s">
        <v>168</v>
      </c>
      <c r="E71" t="s">
        <v>21</v>
      </c>
      <c r="F71" t="s">
        <v>169</v>
      </c>
      <c r="G71" t="s">
        <v>22</v>
      </c>
      <c r="H71" s="7">
        <v>0</v>
      </c>
      <c r="I71" s="7">
        <v>27.2</v>
      </c>
      <c r="J71" s="8">
        <f t="shared" ref="J71:J134" si="13">SUM(H71:I71)</f>
        <v>27.2</v>
      </c>
      <c r="K71" s="8"/>
      <c r="L71" s="9">
        <f t="shared" si="12"/>
        <v>1.7</v>
      </c>
      <c r="M71" s="9">
        <f t="shared" ref="M71:M134" si="14">+L71*365</f>
        <v>620.5</v>
      </c>
      <c r="N71" s="10">
        <f t="shared" ref="N71:N134" si="15">+J71/$J$138</f>
        <v>1.6129902645363331E-3</v>
      </c>
      <c r="O71" s="10"/>
      <c r="P71" s="9">
        <f t="shared" ref="P71:P134" si="16">+H71/$W$4</f>
        <v>0</v>
      </c>
      <c r="Q71" s="9">
        <f t="shared" ref="Q71:Q134" si="17">+P71*365</f>
        <v>0</v>
      </c>
      <c r="R71" s="10"/>
      <c r="S71" s="9">
        <f t="shared" ref="S71:S134" si="18">+I71/$W$4</f>
        <v>1.7</v>
      </c>
      <c r="T71" s="9">
        <f t="shared" ref="T71:T134" si="19">+S71*365</f>
        <v>620.5</v>
      </c>
    </row>
    <row r="72" spans="3:20" x14ac:dyDescent="0.35">
      <c r="C72" s="6">
        <f t="shared" si="11"/>
        <v>67</v>
      </c>
      <c r="D72" t="s">
        <v>170</v>
      </c>
      <c r="E72" t="s">
        <v>21</v>
      </c>
      <c r="F72" t="s">
        <v>171</v>
      </c>
      <c r="G72" t="s">
        <v>22</v>
      </c>
      <c r="H72" s="7">
        <v>0</v>
      </c>
      <c r="I72" s="7">
        <v>24.28</v>
      </c>
      <c r="J72" s="8">
        <f t="shared" si="13"/>
        <v>24.28</v>
      </c>
      <c r="K72" s="8"/>
      <c r="L72" s="9">
        <f t="shared" si="12"/>
        <v>1.5175000000000001</v>
      </c>
      <c r="M72" s="9">
        <f t="shared" si="14"/>
        <v>553.88750000000005</v>
      </c>
      <c r="N72" s="10">
        <f t="shared" si="15"/>
        <v>1.4398310155493445E-3</v>
      </c>
      <c r="O72" s="10"/>
      <c r="P72" s="9">
        <f t="shared" si="16"/>
        <v>0</v>
      </c>
      <c r="Q72" s="9">
        <f t="shared" si="17"/>
        <v>0</v>
      </c>
      <c r="R72" s="10"/>
      <c r="S72" s="9">
        <f t="shared" si="18"/>
        <v>1.5175000000000001</v>
      </c>
      <c r="T72" s="9">
        <f t="shared" si="19"/>
        <v>553.88750000000005</v>
      </c>
    </row>
    <row r="73" spans="3:20" x14ac:dyDescent="0.35">
      <c r="C73" s="6">
        <f t="shared" si="11"/>
        <v>68</v>
      </c>
      <c r="D73" t="s">
        <v>172</v>
      </c>
      <c r="E73" t="s">
        <v>174</v>
      </c>
      <c r="F73" t="s">
        <v>173</v>
      </c>
      <c r="G73" t="s">
        <v>144</v>
      </c>
      <c r="H73" s="7">
        <v>13.81</v>
      </c>
      <c r="I73" s="7">
        <v>9.58</v>
      </c>
      <c r="J73" s="8">
        <f t="shared" si="13"/>
        <v>23.39</v>
      </c>
      <c r="K73" s="8"/>
      <c r="L73" s="9">
        <f t="shared" si="12"/>
        <v>1.461875</v>
      </c>
      <c r="M73" s="9">
        <f t="shared" si="14"/>
        <v>533.58437500000002</v>
      </c>
      <c r="N73" s="10">
        <f t="shared" si="15"/>
        <v>1.3870530252759129E-3</v>
      </c>
      <c r="O73" s="10"/>
      <c r="P73" s="9">
        <f t="shared" si="16"/>
        <v>0.86312500000000003</v>
      </c>
      <c r="Q73" s="9">
        <f t="shared" si="17"/>
        <v>315.04062500000003</v>
      </c>
      <c r="R73" s="10"/>
      <c r="S73" s="9">
        <f t="shared" si="18"/>
        <v>0.59875</v>
      </c>
      <c r="T73" s="9">
        <f t="shared" si="19"/>
        <v>218.54374999999999</v>
      </c>
    </row>
    <row r="74" spans="3:20" x14ac:dyDescent="0.35">
      <c r="C74" s="6">
        <f t="shared" si="11"/>
        <v>69</v>
      </c>
      <c r="D74" t="s">
        <v>175</v>
      </c>
      <c r="E74" t="s">
        <v>21</v>
      </c>
      <c r="F74" t="s">
        <v>176</v>
      </c>
      <c r="G74" t="s">
        <v>22</v>
      </c>
      <c r="H74" s="7">
        <v>0</v>
      </c>
      <c r="I74" s="7">
        <v>18.84</v>
      </c>
      <c r="J74" s="8">
        <f t="shared" si="13"/>
        <v>18.84</v>
      </c>
      <c r="K74" s="8"/>
      <c r="L74" s="9">
        <f t="shared" si="12"/>
        <v>1.1775</v>
      </c>
      <c r="M74" s="9">
        <f t="shared" si="14"/>
        <v>429.78750000000002</v>
      </c>
      <c r="N74" s="10">
        <f t="shared" si="15"/>
        <v>1.1172329626420777E-3</v>
      </c>
      <c r="O74" s="10"/>
      <c r="P74" s="9">
        <f t="shared" si="16"/>
        <v>0</v>
      </c>
      <c r="Q74" s="9">
        <f t="shared" si="17"/>
        <v>0</v>
      </c>
      <c r="R74" s="10"/>
      <c r="S74" s="9">
        <f t="shared" si="18"/>
        <v>1.1775</v>
      </c>
      <c r="T74" s="9">
        <f t="shared" si="19"/>
        <v>429.78750000000002</v>
      </c>
    </row>
    <row r="75" spans="3:20" x14ac:dyDescent="0.35">
      <c r="C75" s="6">
        <f t="shared" si="11"/>
        <v>70</v>
      </c>
      <c r="D75" t="s">
        <v>177</v>
      </c>
      <c r="E75" t="s">
        <v>179</v>
      </c>
      <c r="F75" t="s">
        <v>178</v>
      </c>
      <c r="G75" t="s">
        <v>22</v>
      </c>
      <c r="H75" s="7">
        <v>0</v>
      </c>
      <c r="I75" s="7">
        <v>17.920000000000002</v>
      </c>
      <c r="J75" s="8">
        <f t="shared" si="13"/>
        <v>17.920000000000002</v>
      </c>
      <c r="K75" s="8"/>
      <c r="L75" s="9">
        <f t="shared" si="12"/>
        <v>1.1200000000000001</v>
      </c>
      <c r="M75" s="9">
        <f t="shared" si="14"/>
        <v>408.8</v>
      </c>
      <c r="N75" s="10">
        <f t="shared" si="15"/>
        <v>1.062675938988643E-3</v>
      </c>
      <c r="O75" s="10"/>
      <c r="P75" s="9">
        <f t="shared" si="16"/>
        <v>0</v>
      </c>
      <c r="Q75" s="9">
        <f t="shared" si="17"/>
        <v>0</v>
      </c>
      <c r="R75" s="10"/>
      <c r="S75" s="9">
        <f t="shared" si="18"/>
        <v>1.1200000000000001</v>
      </c>
      <c r="T75" s="9">
        <f t="shared" si="19"/>
        <v>408.8</v>
      </c>
    </row>
    <row r="76" spans="3:20" x14ac:dyDescent="0.35">
      <c r="C76" s="6">
        <f t="shared" si="11"/>
        <v>71</v>
      </c>
      <c r="D76" t="s">
        <v>180</v>
      </c>
      <c r="E76" t="s">
        <v>38</v>
      </c>
      <c r="F76" t="s">
        <v>181</v>
      </c>
      <c r="G76" t="s">
        <v>41</v>
      </c>
      <c r="H76" s="7">
        <v>0</v>
      </c>
      <c r="I76" s="7">
        <v>17.850000000000001</v>
      </c>
      <c r="J76" s="8">
        <f t="shared" si="13"/>
        <v>17.850000000000001</v>
      </c>
      <c r="K76" s="8"/>
      <c r="L76" s="9">
        <f t="shared" si="12"/>
        <v>1.1156250000000001</v>
      </c>
      <c r="M76" s="9">
        <f t="shared" si="14"/>
        <v>407.20312500000006</v>
      </c>
      <c r="N76" s="10">
        <f t="shared" si="15"/>
        <v>1.0585248611019687E-3</v>
      </c>
      <c r="O76" s="10"/>
      <c r="P76" s="9">
        <f t="shared" si="16"/>
        <v>0</v>
      </c>
      <c r="Q76" s="9">
        <f t="shared" si="17"/>
        <v>0</v>
      </c>
      <c r="R76" s="10"/>
      <c r="S76" s="9">
        <f t="shared" si="18"/>
        <v>1.1156250000000001</v>
      </c>
      <c r="T76" s="9">
        <f t="shared" si="19"/>
        <v>407.20312500000006</v>
      </c>
    </row>
    <row r="77" spans="3:20" x14ac:dyDescent="0.35">
      <c r="C77" s="6">
        <f t="shared" si="11"/>
        <v>72</v>
      </c>
      <c r="D77" t="s">
        <v>182</v>
      </c>
      <c r="E77" t="s">
        <v>53</v>
      </c>
      <c r="F77" t="s">
        <v>183</v>
      </c>
      <c r="G77" t="s">
        <v>48</v>
      </c>
      <c r="H77" s="7">
        <v>0</v>
      </c>
      <c r="I77" s="7">
        <v>17.28</v>
      </c>
      <c r="J77" s="8">
        <f t="shared" si="13"/>
        <v>17.28</v>
      </c>
      <c r="K77" s="8"/>
      <c r="L77" s="9">
        <f t="shared" si="12"/>
        <v>1.08</v>
      </c>
      <c r="M77" s="9">
        <f t="shared" si="14"/>
        <v>394.20000000000005</v>
      </c>
      <c r="N77" s="10">
        <f t="shared" si="15"/>
        <v>1.0247232268819058E-3</v>
      </c>
      <c r="O77" s="10"/>
      <c r="P77" s="9">
        <f t="shared" si="16"/>
        <v>0</v>
      </c>
      <c r="Q77" s="9">
        <f t="shared" si="17"/>
        <v>0</v>
      </c>
      <c r="R77" s="10"/>
      <c r="S77" s="9">
        <f t="shared" si="18"/>
        <v>1.08</v>
      </c>
      <c r="T77" s="9">
        <f t="shared" si="19"/>
        <v>394.20000000000005</v>
      </c>
    </row>
    <row r="78" spans="3:20" x14ac:dyDescent="0.35">
      <c r="C78" s="6">
        <f t="shared" si="11"/>
        <v>73</v>
      </c>
      <c r="D78" t="s">
        <v>184</v>
      </c>
      <c r="E78" t="s">
        <v>38</v>
      </c>
      <c r="F78" t="s">
        <v>185</v>
      </c>
      <c r="G78" t="s">
        <v>22</v>
      </c>
      <c r="H78" s="7">
        <v>0</v>
      </c>
      <c r="I78" s="7">
        <v>16.55</v>
      </c>
      <c r="J78" s="8">
        <f t="shared" si="13"/>
        <v>16.55</v>
      </c>
      <c r="K78" s="8"/>
      <c r="L78" s="9">
        <f t="shared" si="12"/>
        <v>1.034375</v>
      </c>
      <c r="M78" s="9">
        <f t="shared" si="14"/>
        <v>377.546875</v>
      </c>
      <c r="N78" s="10">
        <f t="shared" si="15"/>
        <v>9.8143341463515854E-4</v>
      </c>
      <c r="O78" s="10"/>
      <c r="P78" s="9">
        <f t="shared" si="16"/>
        <v>0</v>
      </c>
      <c r="Q78" s="9">
        <f t="shared" si="17"/>
        <v>0</v>
      </c>
      <c r="R78" s="10"/>
      <c r="S78" s="9">
        <f t="shared" si="18"/>
        <v>1.034375</v>
      </c>
      <c r="T78" s="9">
        <f t="shared" si="19"/>
        <v>377.546875</v>
      </c>
    </row>
    <row r="79" spans="3:20" x14ac:dyDescent="0.35">
      <c r="C79" s="6">
        <f t="shared" si="11"/>
        <v>74</v>
      </c>
      <c r="D79" t="s">
        <v>186</v>
      </c>
      <c r="E79" t="s">
        <v>32</v>
      </c>
      <c r="F79" t="s">
        <v>187</v>
      </c>
      <c r="G79" t="s">
        <v>33</v>
      </c>
      <c r="H79" s="7">
        <v>0</v>
      </c>
      <c r="I79" s="7">
        <v>16.37</v>
      </c>
      <c r="J79" s="8">
        <f t="shared" si="13"/>
        <v>16.37</v>
      </c>
      <c r="K79" s="8"/>
      <c r="L79" s="9">
        <f t="shared" si="12"/>
        <v>1.0231250000000001</v>
      </c>
      <c r="M79" s="9">
        <f t="shared" si="14"/>
        <v>373.44062500000001</v>
      </c>
      <c r="N79" s="10">
        <f t="shared" si="15"/>
        <v>9.7075921435513875E-4</v>
      </c>
      <c r="O79" s="10"/>
      <c r="P79" s="9">
        <f t="shared" si="16"/>
        <v>0</v>
      </c>
      <c r="Q79" s="9">
        <f t="shared" si="17"/>
        <v>0</v>
      </c>
      <c r="R79" s="10"/>
      <c r="S79" s="9">
        <f t="shared" si="18"/>
        <v>1.0231250000000001</v>
      </c>
      <c r="T79" s="9">
        <f t="shared" si="19"/>
        <v>373.44062500000001</v>
      </c>
    </row>
    <row r="80" spans="3:20" x14ac:dyDescent="0.35">
      <c r="C80" s="6">
        <f t="shared" si="11"/>
        <v>75</v>
      </c>
      <c r="D80" t="s">
        <v>188</v>
      </c>
      <c r="E80" t="s">
        <v>130</v>
      </c>
      <c r="F80" t="s">
        <v>189</v>
      </c>
      <c r="G80" t="s">
        <v>33</v>
      </c>
      <c r="H80" s="7">
        <v>0</v>
      </c>
      <c r="I80" s="7">
        <v>14.91</v>
      </c>
      <c r="J80" s="8">
        <f t="shared" si="13"/>
        <v>14.91</v>
      </c>
      <c r="K80" s="8"/>
      <c r="L80" s="9">
        <f t="shared" si="12"/>
        <v>0.93187500000000001</v>
      </c>
      <c r="M80" s="9">
        <f t="shared" si="14"/>
        <v>340.13437499999998</v>
      </c>
      <c r="N80" s="10">
        <f t="shared" si="15"/>
        <v>8.8417958986164436E-4</v>
      </c>
      <c r="O80" s="10"/>
      <c r="P80" s="9">
        <f t="shared" si="16"/>
        <v>0</v>
      </c>
      <c r="Q80" s="9">
        <f t="shared" si="17"/>
        <v>0</v>
      </c>
      <c r="R80" s="10"/>
      <c r="S80" s="9">
        <f t="shared" si="18"/>
        <v>0.93187500000000001</v>
      </c>
      <c r="T80" s="9">
        <f t="shared" si="19"/>
        <v>340.13437499999998</v>
      </c>
    </row>
    <row r="81" spans="3:20" x14ac:dyDescent="0.35">
      <c r="C81" s="6">
        <f t="shared" si="11"/>
        <v>76</v>
      </c>
      <c r="D81" t="s">
        <v>190</v>
      </c>
      <c r="E81" t="s">
        <v>21</v>
      </c>
      <c r="F81" t="s">
        <v>191</v>
      </c>
      <c r="G81" t="s">
        <v>22</v>
      </c>
      <c r="H81" s="7">
        <v>0</v>
      </c>
      <c r="I81" s="7">
        <v>14.09</v>
      </c>
      <c r="J81" s="8">
        <f t="shared" si="13"/>
        <v>14.09</v>
      </c>
      <c r="K81" s="8"/>
      <c r="L81" s="9">
        <f t="shared" si="12"/>
        <v>0.88062499999999999</v>
      </c>
      <c r="M81" s="9">
        <f t="shared" si="14"/>
        <v>321.42812500000002</v>
      </c>
      <c r="N81" s="10">
        <f t="shared" si="15"/>
        <v>8.3555267747488732E-4</v>
      </c>
      <c r="O81" s="10"/>
      <c r="P81" s="9">
        <f t="shared" si="16"/>
        <v>0</v>
      </c>
      <c r="Q81" s="9">
        <f t="shared" si="17"/>
        <v>0</v>
      </c>
      <c r="R81" s="10"/>
      <c r="S81" s="9">
        <f t="shared" si="18"/>
        <v>0.88062499999999999</v>
      </c>
      <c r="T81" s="9">
        <f t="shared" si="19"/>
        <v>321.42812500000002</v>
      </c>
    </row>
    <row r="82" spans="3:20" x14ac:dyDescent="0.35">
      <c r="C82" s="6">
        <f t="shared" si="11"/>
        <v>77</v>
      </c>
      <c r="D82" t="s">
        <v>192</v>
      </c>
      <c r="E82" t="s">
        <v>21</v>
      </c>
      <c r="F82" t="s">
        <v>193</v>
      </c>
      <c r="G82" t="s">
        <v>22</v>
      </c>
      <c r="H82" s="7">
        <v>0</v>
      </c>
      <c r="I82" s="7">
        <v>13.47</v>
      </c>
      <c r="J82" s="8">
        <f t="shared" si="13"/>
        <v>13.47</v>
      </c>
      <c r="K82" s="8"/>
      <c r="L82" s="9">
        <f t="shared" si="12"/>
        <v>0.84187500000000004</v>
      </c>
      <c r="M82" s="9">
        <f t="shared" si="14"/>
        <v>307.28437500000001</v>
      </c>
      <c r="N82" s="10">
        <f t="shared" si="15"/>
        <v>7.9878598762148556E-4</v>
      </c>
      <c r="O82" s="10"/>
      <c r="P82" s="9">
        <f t="shared" si="16"/>
        <v>0</v>
      </c>
      <c r="Q82" s="9">
        <f t="shared" si="17"/>
        <v>0</v>
      </c>
      <c r="R82" s="10"/>
      <c r="S82" s="9">
        <f t="shared" si="18"/>
        <v>0.84187500000000004</v>
      </c>
      <c r="T82" s="9">
        <f t="shared" si="19"/>
        <v>307.28437500000001</v>
      </c>
    </row>
    <row r="83" spans="3:20" x14ac:dyDescent="0.35">
      <c r="C83" s="6">
        <f t="shared" si="11"/>
        <v>78</v>
      </c>
      <c r="D83" t="s">
        <v>194</v>
      </c>
      <c r="E83" t="s">
        <v>21</v>
      </c>
      <c r="F83" t="s">
        <v>195</v>
      </c>
      <c r="G83" t="s">
        <v>22</v>
      </c>
      <c r="H83" s="7">
        <v>0</v>
      </c>
      <c r="I83" s="7">
        <v>13.1</v>
      </c>
      <c r="J83" s="8">
        <f t="shared" si="13"/>
        <v>13.1</v>
      </c>
      <c r="K83" s="8"/>
      <c r="L83" s="9">
        <f t="shared" si="12"/>
        <v>0.81874999999999998</v>
      </c>
      <c r="M83" s="9">
        <f t="shared" si="14"/>
        <v>298.84375</v>
      </c>
      <c r="N83" s="10">
        <f t="shared" si="15"/>
        <v>7.7684457593477812E-4</v>
      </c>
      <c r="O83" s="10"/>
      <c r="P83" s="9">
        <f t="shared" si="16"/>
        <v>0</v>
      </c>
      <c r="Q83" s="9">
        <f t="shared" si="17"/>
        <v>0</v>
      </c>
      <c r="R83" s="10"/>
      <c r="S83" s="9">
        <f t="shared" si="18"/>
        <v>0.81874999999999998</v>
      </c>
      <c r="T83" s="9">
        <f t="shared" si="19"/>
        <v>298.84375</v>
      </c>
    </row>
    <row r="84" spans="3:20" x14ac:dyDescent="0.35">
      <c r="C84" s="6">
        <f t="shared" si="11"/>
        <v>79</v>
      </c>
      <c r="D84" t="s">
        <v>196</v>
      </c>
      <c r="E84" t="s">
        <v>61</v>
      </c>
      <c r="F84" t="s">
        <v>197</v>
      </c>
      <c r="G84" t="s">
        <v>41</v>
      </c>
      <c r="H84" s="7">
        <v>0</v>
      </c>
      <c r="I84" s="7">
        <v>12.54</v>
      </c>
      <c r="J84" s="8">
        <f t="shared" si="13"/>
        <v>12.54</v>
      </c>
      <c r="K84" s="8"/>
      <c r="L84" s="9">
        <f t="shared" si="12"/>
        <v>0.78374999999999995</v>
      </c>
      <c r="M84" s="9">
        <f t="shared" si="14"/>
        <v>286.06874999999997</v>
      </c>
      <c r="N84" s="10">
        <f t="shared" si="15"/>
        <v>7.4363595284138292E-4</v>
      </c>
      <c r="O84" s="10"/>
      <c r="P84" s="9">
        <f t="shared" si="16"/>
        <v>0</v>
      </c>
      <c r="Q84" s="9">
        <f t="shared" si="17"/>
        <v>0</v>
      </c>
      <c r="R84" s="10"/>
      <c r="S84" s="9">
        <f t="shared" si="18"/>
        <v>0.78374999999999995</v>
      </c>
      <c r="T84" s="9">
        <f t="shared" si="19"/>
        <v>286.06874999999997</v>
      </c>
    </row>
    <row r="85" spans="3:20" x14ac:dyDescent="0.35">
      <c r="C85" s="6">
        <f t="shared" si="11"/>
        <v>80</v>
      </c>
      <c r="D85" t="s">
        <v>198</v>
      </c>
      <c r="E85" t="s">
        <v>21</v>
      </c>
      <c r="F85" t="s">
        <v>199</v>
      </c>
      <c r="G85" t="s">
        <v>22</v>
      </c>
      <c r="H85" s="7">
        <v>12.53</v>
      </c>
      <c r="I85" s="7">
        <v>0</v>
      </c>
      <c r="J85" s="8">
        <f t="shared" si="13"/>
        <v>12.53</v>
      </c>
      <c r="K85" s="8"/>
      <c r="L85" s="9">
        <f t="shared" si="12"/>
        <v>0.78312499999999996</v>
      </c>
      <c r="M85" s="9">
        <f t="shared" si="14"/>
        <v>285.84062499999999</v>
      </c>
      <c r="N85" s="10">
        <f t="shared" si="15"/>
        <v>7.4304294171471518E-4</v>
      </c>
      <c r="O85" s="10"/>
      <c r="P85" s="9">
        <f t="shared" si="16"/>
        <v>0.78312499999999996</v>
      </c>
      <c r="Q85" s="9">
        <f t="shared" si="17"/>
        <v>285.84062499999999</v>
      </c>
      <c r="R85" s="10"/>
      <c r="S85" s="9">
        <f t="shared" si="18"/>
        <v>0</v>
      </c>
      <c r="T85" s="9">
        <f t="shared" si="19"/>
        <v>0</v>
      </c>
    </row>
    <row r="86" spans="3:20" x14ac:dyDescent="0.35">
      <c r="C86" s="6">
        <f t="shared" si="11"/>
        <v>81</v>
      </c>
      <c r="D86" t="s">
        <v>200</v>
      </c>
      <c r="E86" t="s">
        <v>48</v>
      </c>
      <c r="F86" t="s">
        <v>201</v>
      </c>
      <c r="G86" t="s">
        <v>48</v>
      </c>
      <c r="H86" s="7">
        <v>0</v>
      </c>
      <c r="I86" s="7">
        <v>11.46</v>
      </c>
      <c r="J86" s="8">
        <f t="shared" si="13"/>
        <v>11.46</v>
      </c>
      <c r="K86" s="8"/>
      <c r="L86" s="9">
        <f t="shared" si="12"/>
        <v>0.71625000000000005</v>
      </c>
      <c r="M86" s="9">
        <f t="shared" si="14"/>
        <v>261.43125000000003</v>
      </c>
      <c r="N86" s="10">
        <f t="shared" si="15"/>
        <v>6.7959075116126393E-4</v>
      </c>
      <c r="O86" s="10"/>
      <c r="P86" s="9">
        <f t="shared" si="16"/>
        <v>0</v>
      </c>
      <c r="Q86" s="9">
        <f t="shared" si="17"/>
        <v>0</v>
      </c>
      <c r="R86" s="10"/>
      <c r="S86" s="9">
        <f t="shared" si="18"/>
        <v>0.71625000000000005</v>
      </c>
      <c r="T86" s="9">
        <f t="shared" si="19"/>
        <v>261.43125000000003</v>
      </c>
    </row>
    <row r="87" spans="3:20" x14ac:dyDescent="0.35">
      <c r="C87" s="6">
        <f t="shared" si="11"/>
        <v>82</v>
      </c>
      <c r="D87" t="s">
        <v>202</v>
      </c>
      <c r="E87" t="s">
        <v>21</v>
      </c>
      <c r="F87" t="s">
        <v>203</v>
      </c>
      <c r="G87" t="s">
        <v>22</v>
      </c>
      <c r="H87" s="7">
        <v>0</v>
      </c>
      <c r="I87" s="7">
        <v>10.36</v>
      </c>
      <c r="J87" s="8">
        <f t="shared" si="13"/>
        <v>10.36</v>
      </c>
      <c r="K87" s="8"/>
      <c r="L87" s="9">
        <f t="shared" si="12"/>
        <v>0.64749999999999996</v>
      </c>
      <c r="M87" s="9">
        <f t="shared" si="14"/>
        <v>236.33749999999998</v>
      </c>
      <c r="N87" s="10">
        <f t="shared" si="15"/>
        <v>6.1435952722780924E-4</v>
      </c>
      <c r="O87" s="10"/>
      <c r="P87" s="9">
        <f t="shared" si="16"/>
        <v>0</v>
      </c>
      <c r="Q87" s="9">
        <f t="shared" si="17"/>
        <v>0</v>
      </c>
      <c r="R87" s="10"/>
      <c r="S87" s="9">
        <f t="shared" si="18"/>
        <v>0.64749999999999996</v>
      </c>
      <c r="T87" s="9">
        <f t="shared" si="19"/>
        <v>236.33749999999998</v>
      </c>
    </row>
    <row r="88" spans="3:20" x14ac:dyDescent="0.35">
      <c r="C88" s="6">
        <f t="shared" si="11"/>
        <v>83</v>
      </c>
      <c r="D88" t="s">
        <v>204</v>
      </c>
      <c r="E88" t="s">
        <v>21</v>
      </c>
      <c r="F88" t="s">
        <v>205</v>
      </c>
      <c r="G88" t="s">
        <v>22</v>
      </c>
      <c r="H88" s="7">
        <v>0</v>
      </c>
      <c r="I88" s="7">
        <v>8.1999999999999993</v>
      </c>
      <c r="J88" s="8">
        <f t="shared" si="13"/>
        <v>8.1999999999999993</v>
      </c>
      <c r="K88" s="8"/>
      <c r="L88" s="9">
        <f t="shared" si="12"/>
        <v>0.51249999999999996</v>
      </c>
      <c r="M88" s="9">
        <f t="shared" si="14"/>
        <v>187.06249999999997</v>
      </c>
      <c r="N88" s="10">
        <f t="shared" si="15"/>
        <v>4.8626912386757099E-4</v>
      </c>
      <c r="O88" s="10"/>
      <c r="P88" s="9">
        <f t="shared" si="16"/>
        <v>0</v>
      </c>
      <c r="Q88" s="9">
        <f t="shared" si="17"/>
        <v>0</v>
      </c>
      <c r="R88" s="10"/>
      <c r="S88" s="9">
        <f t="shared" si="18"/>
        <v>0.51249999999999996</v>
      </c>
      <c r="T88" s="9">
        <f t="shared" si="19"/>
        <v>187.06249999999997</v>
      </c>
    </row>
    <row r="89" spans="3:20" x14ac:dyDescent="0.35">
      <c r="C89" s="6">
        <f t="shared" si="11"/>
        <v>84</v>
      </c>
      <c r="D89" t="s">
        <v>206</v>
      </c>
      <c r="E89" t="s">
        <v>74</v>
      </c>
      <c r="F89" t="s">
        <v>207</v>
      </c>
      <c r="G89" t="s">
        <v>41</v>
      </c>
      <c r="H89" s="7">
        <v>0</v>
      </c>
      <c r="I89" s="7">
        <v>7.84</v>
      </c>
      <c r="J89" s="8">
        <f t="shared" si="13"/>
        <v>7.84</v>
      </c>
      <c r="K89" s="8"/>
      <c r="L89" s="9">
        <f t="shared" si="12"/>
        <v>0.49</v>
      </c>
      <c r="M89" s="9">
        <f t="shared" si="14"/>
        <v>178.85</v>
      </c>
      <c r="N89" s="10">
        <f t="shared" si="15"/>
        <v>4.6492072330753129E-4</v>
      </c>
      <c r="O89" s="10"/>
      <c r="P89" s="9">
        <f t="shared" si="16"/>
        <v>0</v>
      </c>
      <c r="Q89" s="9">
        <f t="shared" si="17"/>
        <v>0</v>
      </c>
      <c r="R89" s="10"/>
      <c r="S89" s="9">
        <f t="shared" si="18"/>
        <v>0.49</v>
      </c>
      <c r="T89" s="9">
        <f t="shared" si="19"/>
        <v>178.85</v>
      </c>
    </row>
    <row r="90" spans="3:20" x14ac:dyDescent="0.35">
      <c r="C90" s="6">
        <f t="shared" si="11"/>
        <v>85</v>
      </c>
      <c r="D90" t="s">
        <v>208</v>
      </c>
      <c r="E90" t="s">
        <v>179</v>
      </c>
      <c r="F90" t="s">
        <v>209</v>
      </c>
      <c r="G90" t="s">
        <v>22</v>
      </c>
      <c r="H90" s="7">
        <v>0</v>
      </c>
      <c r="I90" s="7">
        <v>6.77</v>
      </c>
      <c r="J90" s="8">
        <f t="shared" si="13"/>
        <v>6.77</v>
      </c>
      <c r="K90" s="8"/>
      <c r="L90" s="9">
        <f t="shared" si="12"/>
        <v>0.42312499999999997</v>
      </c>
      <c r="M90" s="9">
        <f t="shared" si="14"/>
        <v>154.44062499999998</v>
      </c>
      <c r="N90" s="10">
        <f t="shared" si="15"/>
        <v>4.0146853275407993E-4</v>
      </c>
      <c r="O90" s="10"/>
      <c r="P90" s="9">
        <f t="shared" si="16"/>
        <v>0</v>
      </c>
      <c r="Q90" s="9">
        <f t="shared" si="17"/>
        <v>0</v>
      </c>
      <c r="R90" s="10"/>
      <c r="S90" s="9">
        <f t="shared" si="18"/>
        <v>0.42312499999999997</v>
      </c>
      <c r="T90" s="9">
        <f t="shared" si="19"/>
        <v>154.44062499999998</v>
      </c>
    </row>
    <row r="91" spans="3:20" x14ac:dyDescent="0.35">
      <c r="C91" s="6">
        <f t="shared" si="11"/>
        <v>86</v>
      </c>
      <c r="D91" t="s">
        <v>210</v>
      </c>
      <c r="E91" t="s">
        <v>21</v>
      </c>
      <c r="F91" t="s">
        <v>211</v>
      </c>
      <c r="G91" t="s">
        <v>22</v>
      </c>
      <c r="H91" s="7">
        <v>0</v>
      </c>
      <c r="I91" s="7">
        <v>6.71</v>
      </c>
      <c r="J91" s="8">
        <f t="shared" si="13"/>
        <v>6.71</v>
      </c>
      <c r="K91" s="8"/>
      <c r="L91" s="9">
        <f t="shared" si="12"/>
        <v>0.419375</v>
      </c>
      <c r="M91" s="9">
        <f t="shared" si="14"/>
        <v>153.07187500000001</v>
      </c>
      <c r="N91" s="10">
        <f t="shared" si="15"/>
        <v>3.9791046599407337E-4</v>
      </c>
      <c r="O91" s="10"/>
      <c r="P91" s="9">
        <f t="shared" si="16"/>
        <v>0</v>
      </c>
      <c r="Q91" s="9">
        <f t="shared" si="17"/>
        <v>0</v>
      </c>
      <c r="R91" s="10"/>
      <c r="S91" s="9">
        <f t="shared" si="18"/>
        <v>0.419375</v>
      </c>
      <c r="T91" s="9">
        <f t="shared" si="19"/>
        <v>153.07187500000001</v>
      </c>
    </row>
    <row r="92" spans="3:20" x14ac:dyDescent="0.35">
      <c r="C92" s="6">
        <f t="shared" si="11"/>
        <v>87</v>
      </c>
      <c r="D92" t="s">
        <v>212</v>
      </c>
      <c r="E92" t="s">
        <v>125</v>
      </c>
      <c r="F92" t="s">
        <v>213</v>
      </c>
      <c r="G92" t="s">
        <v>41</v>
      </c>
      <c r="H92" s="7">
        <v>0</v>
      </c>
      <c r="I92" s="7">
        <v>6.35</v>
      </c>
      <c r="J92" s="8">
        <f t="shared" si="13"/>
        <v>6.35</v>
      </c>
      <c r="K92" s="8"/>
      <c r="L92" s="9">
        <f t="shared" si="12"/>
        <v>0.39687499999999998</v>
      </c>
      <c r="M92" s="9">
        <f t="shared" si="14"/>
        <v>144.859375</v>
      </c>
      <c r="N92" s="10">
        <f t="shared" si="15"/>
        <v>3.7656206543403362E-4</v>
      </c>
      <c r="O92" s="10"/>
      <c r="P92" s="9">
        <f t="shared" si="16"/>
        <v>0</v>
      </c>
      <c r="Q92" s="9">
        <f t="shared" si="17"/>
        <v>0</v>
      </c>
      <c r="R92" s="10"/>
      <c r="S92" s="9">
        <f t="shared" si="18"/>
        <v>0.39687499999999998</v>
      </c>
      <c r="T92" s="9">
        <f t="shared" si="19"/>
        <v>144.859375</v>
      </c>
    </row>
    <row r="93" spans="3:20" x14ac:dyDescent="0.35">
      <c r="C93" s="6">
        <f t="shared" si="11"/>
        <v>88</v>
      </c>
      <c r="D93" t="s">
        <v>214</v>
      </c>
      <c r="E93" t="s">
        <v>38</v>
      </c>
      <c r="F93" t="s">
        <v>215</v>
      </c>
      <c r="G93" t="s">
        <v>41</v>
      </c>
      <c r="H93" s="7">
        <v>0</v>
      </c>
      <c r="I93" s="7">
        <v>6.09</v>
      </c>
      <c r="J93" s="8">
        <f t="shared" si="13"/>
        <v>6.09</v>
      </c>
      <c r="K93" s="8"/>
      <c r="L93" s="9">
        <f t="shared" si="12"/>
        <v>0.38062499999999999</v>
      </c>
      <c r="M93" s="9">
        <f t="shared" si="14"/>
        <v>138.92812499999999</v>
      </c>
      <c r="N93" s="10">
        <f t="shared" si="15"/>
        <v>3.6114377614067166E-4</v>
      </c>
      <c r="O93" s="10"/>
      <c r="P93" s="9">
        <f t="shared" si="16"/>
        <v>0</v>
      </c>
      <c r="Q93" s="9">
        <f t="shared" si="17"/>
        <v>0</v>
      </c>
      <c r="R93" s="10"/>
      <c r="S93" s="9">
        <f t="shared" si="18"/>
        <v>0.38062499999999999</v>
      </c>
      <c r="T93" s="9">
        <f t="shared" si="19"/>
        <v>138.92812499999999</v>
      </c>
    </row>
    <row r="94" spans="3:20" x14ac:dyDescent="0.35">
      <c r="C94" s="6">
        <f t="shared" si="11"/>
        <v>89</v>
      </c>
      <c r="D94" t="s">
        <v>216</v>
      </c>
      <c r="E94" t="s">
        <v>38</v>
      </c>
      <c r="F94" t="s">
        <v>217</v>
      </c>
      <c r="G94" t="s">
        <v>41</v>
      </c>
      <c r="H94" s="7">
        <v>0</v>
      </c>
      <c r="I94" s="7">
        <v>6.07</v>
      </c>
      <c r="J94" s="8">
        <f t="shared" si="13"/>
        <v>6.07</v>
      </c>
      <c r="K94" s="8"/>
      <c r="L94" s="9">
        <f t="shared" si="12"/>
        <v>0.37937500000000002</v>
      </c>
      <c r="M94" s="9">
        <f t="shared" si="14"/>
        <v>138.47187500000001</v>
      </c>
      <c r="N94" s="10">
        <f t="shared" si="15"/>
        <v>3.5995775388733613E-4</v>
      </c>
      <c r="O94" s="10"/>
      <c r="P94" s="9">
        <f t="shared" si="16"/>
        <v>0</v>
      </c>
      <c r="Q94" s="9">
        <f t="shared" si="17"/>
        <v>0</v>
      </c>
      <c r="R94" s="10"/>
      <c r="S94" s="9">
        <f t="shared" si="18"/>
        <v>0.37937500000000002</v>
      </c>
      <c r="T94" s="9">
        <f t="shared" si="19"/>
        <v>138.47187500000001</v>
      </c>
    </row>
    <row r="95" spans="3:20" x14ac:dyDescent="0.35">
      <c r="C95" s="6">
        <f t="shared" si="11"/>
        <v>90</v>
      </c>
      <c r="D95" t="s">
        <v>218</v>
      </c>
      <c r="E95" t="s">
        <v>21</v>
      </c>
      <c r="F95" t="s">
        <v>219</v>
      </c>
      <c r="G95" t="s">
        <v>22</v>
      </c>
      <c r="H95" s="7">
        <v>0</v>
      </c>
      <c r="I95" s="7">
        <v>6.06</v>
      </c>
      <c r="J95" s="8">
        <f t="shared" si="13"/>
        <v>6.06</v>
      </c>
      <c r="K95" s="8"/>
      <c r="L95" s="9">
        <f t="shared" si="12"/>
        <v>0.37874999999999998</v>
      </c>
      <c r="M95" s="9">
        <f t="shared" si="14"/>
        <v>138.24374999999998</v>
      </c>
      <c r="N95" s="10">
        <f t="shared" si="15"/>
        <v>3.5936474276066833E-4</v>
      </c>
      <c r="O95" s="10"/>
      <c r="P95" s="9">
        <f t="shared" si="16"/>
        <v>0</v>
      </c>
      <c r="Q95" s="9">
        <f t="shared" si="17"/>
        <v>0</v>
      </c>
      <c r="R95" s="10"/>
      <c r="S95" s="9">
        <f t="shared" si="18"/>
        <v>0.37874999999999998</v>
      </c>
      <c r="T95" s="9">
        <f t="shared" si="19"/>
        <v>138.24374999999998</v>
      </c>
    </row>
    <row r="96" spans="3:20" x14ac:dyDescent="0.35">
      <c r="C96" s="6">
        <f t="shared" si="11"/>
        <v>91</v>
      </c>
      <c r="D96" t="s">
        <v>220</v>
      </c>
      <c r="E96" t="s">
        <v>41</v>
      </c>
      <c r="F96" t="s">
        <v>221</v>
      </c>
      <c r="G96" t="s">
        <v>41</v>
      </c>
      <c r="H96" s="7">
        <v>0</v>
      </c>
      <c r="I96" s="7">
        <v>5.94</v>
      </c>
      <c r="J96" s="8">
        <f t="shared" si="13"/>
        <v>5.94</v>
      </c>
      <c r="K96" s="8"/>
      <c r="L96" s="9">
        <f t="shared" si="12"/>
        <v>0.37125000000000002</v>
      </c>
      <c r="M96" s="9">
        <f t="shared" si="14"/>
        <v>135.50625000000002</v>
      </c>
      <c r="N96" s="10">
        <f t="shared" si="15"/>
        <v>3.5224860924065515E-4</v>
      </c>
      <c r="O96" s="10"/>
      <c r="P96" s="9">
        <f t="shared" si="16"/>
        <v>0</v>
      </c>
      <c r="Q96" s="9">
        <f t="shared" si="17"/>
        <v>0</v>
      </c>
      <c r="R96" s="10"/>
      <c r="S96" s="9">
        <f t="shared" si="18"/>
        <v>0.37125000000000002</v>
      </c>
      <c r="T96" s="9">
        <f t="shared" si="19"/>
        <v>135.50625000000002</v>
      </c>
    </row>
    <row r="97" spans="3:20" x14ac:dyDescent="0.35">
      <c r="C97" s="6">
        <f t="shared" si="11"/>
        <v>92</v>
      </c>
      <c r="D97" t="s">
        <v>222</v>
      </c>
      <c r="E97" t="s">
        <v>21</v>
      </c>
      <c r="F97" t="s">
        <v>223</v>
      </c>
      <c r="G97" t="s">
        <v>22</v>
      </c>
      <c r="H97" s="7">
        <v>0</v>
      </c>
      <c r="I97" s="7">
        <v>5.44</v>
      </c>
      <c r="J97" s="8">
        <f t="shared" si="13"/>
        <v>5.44</v>
      </c>
      <c r="K97" s="8"/>
      <c r="L97" s="9">
        <f t="shared" si="12"/>
        <v>0.34</v>
      </c>
      <c r="M97" s="9">
        <f t="shared" si="14"/>
        <v>124.10000000000001</v>
      </c>
      <c r="N97" s="10">
        <f t="shared" si="15"/>
        <v>3.2259805290726662E-4</v>
      </c>
      <c r="O97" s="10"/>
      <c r="P97" s="9">
        <f t="shared" si="16"/>
        <v>0</v>
      </c>
      <c r="Q97" s="9">
        <f t="shared" si="17"/>
        <v>0</v>
      </c>
      <c r="R97" s="10"/>
      <c r="S97" s="9">
        <f t="shared" si="18"/>
        <v>0.34</v>
      </c>
      <c r="T97" s="9">
        <f t="shared" si="19"/>
        <v>124.10000000000001</v>
      </c>
    </row>
    <row r="98" spans="3:20" x14ac:dyDescent="0.35">
      <c r="C98" s="6">
        <f t="shared" si="11"/>
        <v>93</v>
      </c>
      <c r="D98" t="s">
        <v>224</v>
      </c>
      <c r="E98" t="s">
        <v>21</v>
      </c>
      <c r="F98" t="s">
        <v>225</v>
      </c>
      <c r="G98" t="s">
        <v>22</v>
      </c>
      <c r="H98" s="7">
        <v>0</v>
      </c>
      <c r="I98" s="7">
        <v>4.32</v>
      </c>
      <c r="J98" s="8">
        <f t="shared" si="13"/>
        <v>4.32</v>
      </c>
      <c r="K98" s="8"/>
      <c r="L98" s="9">
        <f t="shared" si="12"/>
        <v>0.27</v>
      </c>
      <c r="M98" s="9">
        <f t="shared" si="14"/>
        <v>98.550000000000011</v>
      </c>
      <c r="N98" s="10">
        <f t="shared" si="15"/>
        <v>2.5618080672047645E-4</v>
      </c>
      <c r="O98" s="10"/>
      <c r="P98" s="9">
        <f t="shared" si="16"/>
        <v>0</v>
      </c>
      <c r="Q98" s="9">
        <f t="shared" si="17"/>
        <v>0</v>
      </c>
      <c r="R98" s="10"/>
      <c r="S98" s="9">
        <f t="shared" si="18"/>
        <v>0.27</v>
      </c>
      <c r="T98" s="9">
        <f t="shared" si="19"/>
        <v>98.550000000000011</v>
      </c>
    </row>
    <row r="99" spans="3:20" x14ac:dyDescent="0.35">
      <c r="C99" s="6">
        <f t="shared" si="11"/>
        <v>94</v>
      </c>
      <c r="D99" t="s">
        <v>226</v>
      </c>
      <c r="E99" t="s">
        <v>113</v>
      </c>
      <c r="F99" t="s">
        <v>227</v>
      </c>
      <c r="G99" t="s">
        <v>113</v>
      </c>
      <c r="H99" s="7">
        <v>0</v>
      </c>
      <c r="I99" s="7">
        <v>4.08</v>
      </c>
      <c r="J99" s="8">
        <f t="shared" si="13"/>
        <v>4.08</v>
      </c>
      <c r="K99" s="8"/>
      <c r="L99" s="9">
        <f t="shared" si="12"/>
        <v>0.255</v>
      </c>
      <c r="M99" s="9">
        <f t="shared" si="14"/>
        <v>93.075000000000003</v>
      </c>
      <c r="N99" s="10">
        <f t="shared" si="15"/>
        <v>2.4194853968044998E-4</v>
      </c>
      <c r="O99" s="10"/>
      <c r="P99" s="9">
        <f t="shared" si="16"/>
        <v>0</v>
      </c>
      <c r="Q99" s="9">
        <f t="shared" si="17"/>
        <v>0</v>
      </c>
      <c r="R99" s="10"/>
      <c r="S99" s="9">
        <f t="shared" si="18"/>
        <v>0.255</v>
      </c>
      <c r="T99" s="9">
        <f t="shared" si="19"/>
        <v>93.075000000000003</v>
      </c>
    </row>
    <row r="100" spans="3:20" x14ac:dyDescent="0.35">
      <c r="C100" s="6">
        <f t="shared" si="11"/>
        <v>95</v>
      </c>
      <c r="D100" t="s">
        <v>228</v>
      </c>
      <c r="E100" t="s">
        <v>230</v>
      </c>
      <c r="F100" t="s">
        <v>229</v>
      </c>
      <c r="G100" t="s">
        <v>33</v>
      </c>
      <c r="H100" s="7">
        <v>0</v>
      </c>
      <c r="I100" s="7">
        <v>3.88</v>
      </c>
      <c r="J100" s="8">
        <f t="shared" si="13"/>
        <v>3.88</v>
      </c>
      <c r="K100" s="8"/>
      <c r="L100" s="9">
        <f t="shared" si="12"/>
        <v>0.24249999999999999</v>
      </c>
      <c r="M100" s="9">
        <f t="shared" si="14"/>
        <v>88.512500000000003</v>
      </c>
      <c r="N100" s="10">
        <f t="shared" si="15"/>
        <v>2.3008831714709457E-4</v>
      </c>
      <c r="O100" s="10"/>
      <c r="P100" s="9">
        <f t="shared" si="16"/>
        <v>0</v>
      </c>
      <c r="Q100" s="9">
        <f t="shared" si="17"/>
        <v>0</v>
      </c>
      <c r="R100" s="10"/>
      <c r="S100" s="9">
        <f t="shared" si="18"/>
        <v>0.24249999999999999</v>
      </c>
      <c r="T100" s="9">
        <f t="shared" si="19"/>
        <v>88.512500000000003</v>
      </c>
    </row>
    <row r="101" spans="3:20" x14ac:dyDescent="0.35">
      <c r="C101" s="6">
        <f t="shared" si="11"/>
        <v>96</v>
      </c>
      <c r="D101" t="s">
        <v>231</v>
      </c>
      <c r="E101" t="s">
        <v>21</v>
      </c>
      <c r="F101" t="s">
        <v>232</v>
      </c>
      <c r="G101" t="s">
        <v>22</v>
      </c>
      <c r="H101" s="7">
        <v>0</v>
      </c>
      <c r="I101" s="7">
        <v>3.58</v>
      </c>
      <c r="J101" s="8">
        <f t="shared" si="13"/>
        <v>3.58</v>
      </c>
      <c r="K101" s="8"/>
      <c r="L101" s="9">
        <f t="shared" si="12"/>
        <v>0.22375</v>
      </c>
      <c r="M101" s="9">
        <f t="shared" si="14"/>
        <v>81.668750000000003</v>
      </c>
      <c r="N101" s="10">
        <f t="shared" si="15"/>
        <v>2.1229798334706151E-4</v>
      </c>
      <c r="O101" s="10"/>
      <c r="P101" s="9">
        <f t="shared" si="16"/>
        <v>0</v>
      </c>
      <c r="Q101" s="9">
        <f t="shared" si="17"/>
        <v>0</v>
      </c>
      <c r="R101" s="10"/>
      <c r="S101" s="9">
        <f t="shared" si="18"/>
        <v>0.22375</v>
      </c>
      <c r="T101" s="9">
        <f t="shared" si="19"/>
        <v>81.668750000000003</v>
      </c>
    </row>
    <row r="102" spans="3:20" x14ac:dyDescent="0.35">
      <c r="C102" s="6">
        <f t="shared" ref="C102:C137" si="20">+RANK(J102,$J$6:$J$137,0)</f>
        <v>97</v>
      </c>
      <c r="D102" t="s">
        <v>233</v>
      </c>
      <c r="E102" t="s">
        <v>235</v>
      </c>
      <c r="F102" t="s">
        <v>234</v>
      </c>
      <c r="G102" t="s">
        <v>22</v>
      </c>
      <c r="H102" s="7">
        <v>0</v>
      </c>
      <c r="I102" s="7">
        <v>3.56</v>
      </c>
      <c r="J102" s="8">
        <f t="shared" si="13"/>
        <v>3.56</v>
      </c>
      <c r="K102" s="8"/>
      <c r="L102" s="9">
        <f t="shared" ref="L102:L137" si="21">+J102/$W$4</f>
        <v>0.2225</v>
      </c>
      <c r="M102" s="9">
        <f t="shared" si="14"/>
        <v>81.212500000000006</v>
      </c>
      <c r="N102" s="10">
        <f t="shared" si="15"/>
        <v>2.1111196109372594E-4</v>
      </c>
      <c r="O102" s="10"/>
      <c r="P102" s="9">
        <f t="shared" si="16"/>
        <v>0</v>
      </c>
      <c r="Q102" s="9">
        <f t="shared" si="17"/>
        <v>0</v>
      </c>
      <c r="R102" s="10"/>
      <c r="S102" s="9">
        <f t="shared" si="18"/>
        <v>0.2225</v>
      </c>
      <c r="T102" s="9">
        <f t="shared" si="19"/>
        <v>81.212500000000006</v>
      </c>
    </row>
    <row r="103" spans="3:20" x14ac:dyDescent="0.35">
      <c r="C103" s="6">
        <f t="shared" si="20"/>
        <v>98</v>
      </c>
      <c r="D103" t="s">
        <v>236</v>
      </c>
      <c r="E103" t="s">
        <v>21</v>
      </c>
      <c r="F103" t="s">
        <v>237</v>
      </c>
      <c r="G103" t="s">
        <v>22</v>
      </c>
      <c r="H103" s="7">
        <v>0</v>
      </c>
      <c r="I103" s="7">
        <v>3.08</v>
      </c>
      <c r="J103" s="8">
        <f t="shared" si="13"/>
        <v>3.08</v>
      </c>
      <c r="K103" s="8"/>
      <c r="L103" s="9">
        <f t="shared" si="21"/>
        <v>0.1925</v>
      </c>
      <c r="M103" s="9">
        <f t="shared" si="14"/>
        <v>70.262500000000003</v>
      </c>
      <c r="N103" s="10">
        <f t="shared" si="15"/>
        <v>1.8264742701367301E-4</v>
      </c>
      <c r="O103" s="10"/>
      <c r="P103" s="9">
        <f t="shared" si="16"/>
        <v>0</v>
      </c>
      <c r="Q103" s="9">
        <f t="shared" si="17"/>
        <v>0</v>
      </c>
      <c r="R103" s="10"/>
      <c r="S103" s="9">
        <f t="shared" si="18"/>
        <v>0.1925</v>
      </c>
      <c r="T103" s="9">
        <f t="shared" si="19"/>
        <v>70.262500000000003</v>
      </c>
    </row>
    <row r="104" spans="3:20" x14ac:dyDescent="0.35">
      <c r="C104" s="6">
        <f t="shared" si="20"/>
        <v>99</v>
      </c>
      <c r="D104" t="s">
        <v>238</v>
      </c>
      <c r="E104" t="s">
        <v>74</v>
      </c>
      <c r="F104" t="s">
        <v>239</v>
      </c>
      <c r="G104" t="s">
        <v>41</v>
      </c>
      <c r="H104" s="7">
        <v>0</v>
      </c>
      <c r="I104" s="7">
        <v>2.67</v>
      </c>
      <c r="J104" s="8">
        <f t="shared" si="13"/>
        <v>2.67</v>
      </c>
      <c r="K104" s="8"/>
      <c r="L104" s="9">
        <f t="shared" si="21"/>
        <v>0.166875</v>
      </c>
      <c r="M104" s="9">
        <f t="shared" si="14"/>
        <v>60.909374999999997</v>
      </c>
      <c r="N104" s="10">
        <f t="shared" si="15"/>
        <v>1.5833397082029447E-4</v>
      </c>
      <c r="O104" s="10"/>
      <c r="P104" s="9">
        <f t="shared" si="16"/>
        <v>0</v>
      </c>
      <c r="Q104" s="9">
        <f t="shared" si="17"/>
        <v>0</v>
      </c>
      <c r="R104" s="10"/>
      <c r="S104" s="9">
        <f t="shared" si="18"/>
        <v>0.166875</v>
      </c>
      <c r="T104" s="9">
        <f t="shared" si="19"/>
        <v>60.909374999999997</v>
      </c>
    </row>
    <row r="105" spans="3:20" x14ac:dyDescent="0.35">
      <c r="C105" s="6">
        <f t="shared" si="20"/>
        <v>100</v>
      </c>
      <c r="D105" t="s">
        <v>240</v>
      </c>
      <c r="E105" t="s">
        <v>174</v>
      </c>
      <c r="F105" t="s">
        <v>241</v>
      </c>
      <c r="G105" t="s">
        <v>144</v>
      </c>
      <c r="H105" s="7">
        <v>0</v>
      </c>
      <c r="I105" s="7">
        <v>2.56</v>
      </c>
      <c r="J105" s="8">
        <f t="shared" si="13"/>
        <v>2.56</v>
      </c>
      <c r="K105" s="8"/>
      <c r="L105" s="9">
        <f t="shared" si="21"/>
        <v>0.16</v>
      </c>
      <c r="M105" s="9">
        <f t="shared" si="14"/>
        <v>58.4</v>
      </c>
      <c r="N105" s="10">
        <f t="shared" si="15"/>
        <v>1.51810848426949E-4</v>
      </c>
      <c r="O105" s="10"/>
      <c r="P105" s="9">
        <f t="shared" si="16"/>
        <v>0</v>
      </c>
      <c r="Q105" s="9">
        <f t="shared" si="17"/>
        <v>0</v>
      </c>
      <c r="R105" s="10"/>
      <c r="S105" s="9">
        <f t="shared" si="18"/>
        <v>0.16</v>
      </c>
      <c r="T105" s="9">
        <f t="shared" si="19"/>
        <v>58.4</v>
      </c>
    </row>
    <row r="106" spans="3:20" x14ac:dyDescent="0.35">
      <c r="C106" s="6">
        <f t="shared" si="20"/>
        <v>101</v>
      </c>
      <c r="D106" t="s">
        <v>242</v>
      </c>
      <c r="E106" t="s">
        <v>21</v>
      </c>
      <c r="F106" t="s">
        <v>243</v>
      </c>
      <c r="G106" t="s">
        <v>22</v>
      </c>
      <c r="H106" s="7">
        <v>0</v>
      </c>
      <c r="I106" s="7">
        <v>2.42</v>
      </c>
      <c r="J106" s="8">
        <f t="shared" si="13"/>
        <v>2.42</v>
      </c>
      <c r="K106" s="8"/>
      <c r="L106" s="9">
        <f t="shared" si="21"/>
        <v>0.15125</v>
      </c>
      <c r="M106" s="9">
        <f t="shared" si="14"/>
        <v>55.206249999999997</v>
      </c>
      <c r="N106" s="10">
        <f t="shared" si="15"/>
        <v>1.4350869265360023E-4</v>
      </c>
      <c r="O106" s="10"/>
      <c r="P106" s="9">
        <f t="shared" si="16"/>
        <v>0</v>
      </c>
      <c r="Q106" s="9">
        <f t="shared" si="17"/>
        <v>0</v>
      </c>
      <c r="R106" s="10"/>
      <c r="S106" s="9">
        <f t="shared" si="18"/>
        <v>0.15125</v>
      </c>
      <c r="T106" s="9">
        <f t="shared" si="19"/>
        <v>55.206249999999997</v>
      </c>
    </row>
    <row r="107" spans="3:20" x14ac:dyDescent="0.35">
      <c r="C107" s="6">
        <f t="shared" si="20"/>
        <v>102</v>
      </c>
      <c r="D107" t="s">
        <v>244</v>
      </c>
      <c r="E107" t="s">
        <v>21</v>
      </c>
      <c r="F107" t="s">
        <v>245</v>
      </c>
      <c r="G107" t="s">
        <v>22</v>
      </c>
      <c r="H107" s="7">
        <v>0</v>
      </c>
      <c r="I107" s="7">
        <v>2.38</v>
      </c>
      <c r="J107" s="8">
        <f t="shared" si="13"/>
        <v>2.38</v>
      </c>
      <c r="K107" s="8"/>
      <c r="L107" s="9">
        <f t="shared" si="21"/>
        <v>0.14874999999999999</v>
      </c>
      <c r="M107" s="9">
        <f t="shared" si="14"/>
        <v>54.293749999999996</v>
      </c>
      <c r="N107" s="10">
        <f t="shared" si="15"/>
        <v>1.4113664814692915E-4</v>
      </c>
      <c r="O107" s="10"/>
      <c r="P107" s="9">
        <f t="shared" si="16"/>
        <v>0</v>
      </c>
      <c r="Q107" s="9">
        <f t="shared" si="17"/>
        <v>0</v>
      </c>
      <c r="R107" s="10"/>
      <c r="S107" s="9">
        <f t="shared" si="18"/>
        <v>0.14874999999999999</v>
      </c>
      <c r="T107" s="9">
        <f t="shared" si="19"/>
        <v>54.293749999999996</v>
      </c>
    </row>
    <row r="108" spans="3:20" x14ac:dyDescent="0.35">
      <c r="C108" s="6">
        <f t="shared" si="20"/>
        <v>103</v>
      </c>
      <c r="D108" t="s">
        <v>246</v>
      </c>
      <c r="E108" t="s">
        <v>27</v>
      </c>
      <c r="F108" t="s">
        <v>247</v>
      </c>
      <c r="G108" t="s">
        <v>22</v>
      </c>
      <c r="H108" s="7">
        <v>0</v>
      </c>
      <c r="I108" s="7">
        <v>2.2200000000000002</v>
      </c>
      <c r="J108" s="8">
        <f t="shared" si="13"/>
        <v>2.2200000000000002</v>
      </c>
      <c r="K108" s="8"/>
      <c r="L108" s="9">
        <f t="shared" si="21"/>
        <v>0.13875000000000001</v>
      </c>
      <c r="M108" s="9">
        <f t="shared" si="14"/>
        <v>50.643750000000004</v>
      </c>
      <c r="N108" s="10">
        <f t="shared" si="15"/>
        <v>1.3164847012024484E-4</v>
      </c>
      <c r="O108" s="10"/>
      <c r="P108" s="9">
        <f t="shared" si="16"/>
        <v>0</v>
      </c>
      <c r="Q108" s="9">
        <f t="shared" si="17"/>
        <v>0</v>
      </c>
      <c r="R108" s="10"/>
      <c r="S108" s="9">
        <f t="shared" si="18"/>
        <v>0.13875000000000001</v>
      </c>
      <c r="T108" s="9">
        <f t="shared" si="19"/>
        <v>50.643750000000004</v>
      </c>
    </row>
    <row r="109" spans="3:20" x14ac:dyDescent="0.35">
      <c r="C109" s="6">
        <f t="shared" si="20"/>
        <v>104</v>
      </c>
      <c r="D109" t="s">
        <v>248</v>
      </c>
      <c r="E109" t="s">
        <v>235</v>
      </c>
      <c r="F109" t="s">
        <v>249</v>
      </c>
      <c r="G109" t="s">
        <v>22</v>
      </c>
      <c r="H109" s="7">
        <v>0</v>
      </c>
      <c r="I109" s="7">
        <v>1.99</v>
      </c>
      <c r="J109" s="8">
        <f t="shared" si="13"/>
        <v>1.99</v>
      </c>
      <c r="K109" s="8"/>
      <c r="L109" s="9">
        <f t="shared" si="21"/>
        <v>0.124375</v>
      </c>
      <c r="M109" s="9">
        <f t="shared" si="14"/>
        <v>45.396875000000001</v>
      </c>
      <c r="N109" s="10">
        <f t="shared" si="15"/>
        <v>1.1800921420688613E-4</v>
      </c>
      <c r="O109" s="10"/>
      <c r="P109" s="9">
        <f t="shared" si="16"/>
        <v>0</v>
      </c>
      <c r="Q109" s="9">
        <f t="shared" si="17"/>
        <v>0</v>
      </c>
      <c r="R109" s="10"/>
      <c r="S109" s="9">
        <f t="shared" si="18"/>
        <v>0.124375</v>
      </c>
      <c r="T109" s="9">
        <f t="shared" si="19"/>
        <v>45.396875000000001</v>
      </c>
    </row>
    <row r="110" spans="3:20" x14ac:dyDescent="0.35">
      <c r="C110" s="6">
        <f t="shared" si="20"/>
        <v>105</v>
      </c>
      <c r="D110" t="s">
        <v>250</v>
      </c>
      <c r="E110" t="s">
        <v>21</v>
      </c>
      <c r="F110" t="s">
        <v>251</v>
      </c>
      <c r="G110" t="s">
        <v>22</v>
      </c>
      <c r="H110" s="7">
        <v>0</v>
      </c>
      <c r="I110" s="7">
        <v>1.98</v>
      </c>
      <c r="J110" s="8">
        <f t="shared" si="13"/>
        <v>1.98</v>
      </c>
      <c r="K110" s="8"/>
      <c r="L110" s="9">
        <f t="shared" si="21"/>
        <v>0.12375</v>
      </c>
      <c r="M110" s="9">
        <f t="shared" si="14"/>
        <v>45.168750000000003</v>
      </c>
      <c r="N110" s="10">
        <f t="shared" si="15"/>
        <v>1.1741620308021836E-4</v>
      </c>
      <c r="O110" s="10"/>
      <c r="P110" s="9">
        <f t="shared" si="16"/>
        <v>0</v>
      </c>
      <c r="Q110" s="9">
        <f t="shared" si="17"/>
        <v>0</v>
      </c>
      <c r="R110" s="10"/>
      <c r="S110" s="9">
        <f t="shared" si="18"/>
        <v>0.12375</v>
      </c>
      <c r="T110" s="9">
        <f t="shared" si="19"/>
        <v>45.168750000000003</v>
      </c>
    </row>
    <row r="111" spans="3:20" x14ac:dyDescent="0.35">
      <c r="C111" s="6">
        <f t="shared" si="20"/>
        <v>106</v>
      </c>
      <c r="D111" t="s">
        <v>252</v>
      </c>
      <c r="E111" t="s">
        <v>235</v>
      </c>
      <c r="F111" t="s">
        <v>253</v>
      </c>
      <c r="G111" t="s">
        <v>22</v>
      </c>
      <c r="H111" s="7">
        <v>0</v>
      </c>
      <c r="I111" s="7">
        <v>1.77</v>
      </c>
      <c r="J111" s="8">
        <f t="shared" si="13"/>
        <v>1.77</v>
      </c>
      <c r="K111" s="8"/>
      <c r="L111" s="9">
        <f t="shared" si="21"/>
        <v>0.110625</v>
      </c>
      <c r="M111" s="9">
        <f t="shared" si="14"/>
        <v>40.378124999999997</v>
      </c>
      <c r="N111" s="10">
        <f t="shared" si="15"/>
        <v>1.049629694201952E-4</v>
      </c>
      <c r="O111" s="10"/>
      <c r="P111" s="9">
        <f t="shared" si="16"/>
        <v>0</v>
      </c>
      <c r="Q111" s="9">
        <f t="shared" si="17"/>
        <v>0</v>
      </c>
      <c r="R111" s="10"/>
      <c r="S111" s="9">
        <f t="shared" si="18"/>
        <v>0.110625</v>
      </c>
      <c r="T111" s="9">
        <f t="shared" si="19"/>
        <v>40.378124999999997</v>
      </c>
    </row>
    <row r="112" spans="3:20" x14ac:dyDescent="0.35">
      <c r="C112" s="6">
        <f t="shared" si="20"/>
        <v>107</v>
      </c>
      <c r="D112" t="s">
        <v>254</v>
      </c>
      <c r="E112" t="s">
        <v>256</v>
      </c>
      <c r="F112" t="s">
        <v>255</v>
      </c>
      <c r="G112" t="s">
        <v>122</v>
      </c>
      <c r="H112" s="7">
        <v>0</v>
      </c>
      <c r="I112" s="7">
        <v>1.74</v>
      </c>
      <c r="J112" s="8">
        <f t="shared" si="13"/>
        <v>1.74</v>
      </c>
      <c r="K112" s="8"/>
      <c r="L112" s="9">
        <f t="shared" si="21"/>
        <v>0.10875</v>
      </c>
      <c r="M112" s="9">
        <f t="shared" si="14"/>
        <v>39.693750000000001</v>
      </c>
      <c r="N112" s="10">
        <f t="shared" si="15"/>
        <v>1.0318393604019189E-4</v>
      </c>
      <c r="O112" s="10"/>
      <c r="P112" s="9">
        <f t="shared" si="16"/>
        <v>0</v>
      </c>
      <c r="Q112" s="9">
        <f t="shared" si="17"/>
        <v>0</v>
      </c>
      <c r="R112" s="10"/>
      <c r="S112" s="9">
        <f t="shared" si="18"/>
        <v>0.10875</v>
      </c>
      <c r="T112" s="9">
        <f t="shared" si="19"/>
        <v>39.693750000000001</v>
      </c>
    </row>
    <row r="113" spans="3:20" x14ac:dyDescent="0.35">
      <c r="C113" s="6">
        <f t="shared" si="20"/>
        <v>108</v>
      </c>
      <c r="D113" t="s">
        <v>257</v>
      </c>
      <c r="E113" t="s">
        <v>21</v>
      </c>
      <c r="F113" t="s">
        <v>258</v>
      </c>
      <c r="G113" t="s">
        <v>22</v>
      </c>
      <c r="H113" s="7">
        <v>0</v>
      </c>
      <c r="I113" s="7">
        <v>1.51</v>
      </c>
      <c r="J113" s="8">
        <f t="shared" si="13"/>
        <v>1.51</v>
      </c>
      <c r="K113" s="8"/>
      <c r="L113" s="9">
        <f t="shared" si="21"/>
        <v>9.4375000000000001E-2</v>
      </c>
      <c r="M113" s="9">
        <f t="shared" si="14"/>
        <v>34.446874999999999</v>
      </c>
      <c r="N113" s="10">
        <f t="shared" si="15"/>
        <v>8.9544680126833198E-5</v>
      </c>
      <c r="O113" s="10"/>
      <c r="P113" s="9">
        <f t="shared" si="16"/>
        <v>0</v>
      </c>
      <c r="Q113" s="9">
        <f t="shared" si="17"/>
        <v>0</v>
      </c>
      <c r="R113" s="10"/>
      <c r="S113" s="9">
        <f t="shared" si="18"/>
        <v>9.4375000000000001E-2</v>
      </c>
      <c r="T113" s="9">
        <f t="shared" si="19"/>
        <v>34.446874999999999</v>
      </c>
    </row>
    <row r="114" spans="3:20" x14ac:dyDescent="0.35">
      <c r="C114" s="6">
        <f t="shared" si="20"/>
        <v>109</v>
      </c>
      <c r="D114" t="s">
        <v>259</v>
      </c>
      <c r="E114" t="s">
        <v>235</v>
      </c>
      <c r="F114" t="s">
        <v>260</v>
      </c>
      <c r="G114" t="s">
        <v>22</v>
      </c>
      <c r="H114" s="7">
        <v>0</v>
      </c>
      <c r="I114" s="7">
        <v>1.48</v>
      </c>
      <c r="J114" s="8">
        <f t="shared" si="13"/>
        <v>1.48</v>
      </c>
      <c r="K114" s="8"/>
      <c r="L114" s="9">
        <f t="shared" si="21"/>
        <v>9.2499999999999999E-2</v>
      </c>
      <c r="M114" s="9">
        <f t="shared" si="14"/>
        <v>33.762500000000003</v>
      </c>
      <c r="N114" s="10">
        <f t="shared" si="15"/>
        <v>8.7765646746829889E-5</v>
      </c>
      <c r="O114" s="10"/>
      <c r="P114" s="9">
        <f t="shared" si="16"/>
        <v>0</v>
      </c>
      <c r="Q114" s="9">
        <f t="shared" si="17"/>
        <v>0</v>
      </c>
      <c r="R114" s="10"/>
      <c r="S114" s="9">
        <f t="shared" si="18"/>
        <v>9.2499999999999999E-2</v>
      </c>
      <c r="T114" s="9">
        <f t="shared" si="19"/>
        <v>33.762500000000003</v>
      </c>
    </row>
    <row r="115" spans="3:20" x14ac:dyDescent="0.35">
      <c r="C115" s="6">
        <f t="shared" si="20"/>
        <v>110</v>
      </c>
      <c r="D115" t="s">
        <v>261</v>
      </c>
      <c r="E115" t="s">
        <v>113</v>
      </c>
      <c r="F115" t="s">
        <v>262</v>
      </c>
      <c r="G115" t="s">
        <v>113</v>
      </c>
      <c r="H115" s="7">
        <v>0</v>
      </c>
      <c r="I115" s="7">
        <v>1.29</v>
      </c>
      <c r="J115" s="8">
        <f t="shared" si="13"/>
        <v>1.29</v>
      </c>
      <c r="K115" s="8"/>
      <c r="L115" s="9">
        <f t="shared" si="21"/>
        <v>8.0625000000000002E-2</v>
      </c>
      <c r="M115" s="9">
        <f t="shared" si="14"/>
        <v>29.428125000000001</v>
      </c>
      <c r="N115" s="10">
        <f t="shared" si="15"/>
        <v>7.649843534014227E-5</v>
      </c>
      <c r="O115" s="10"/>
      <c r="P115" s="9">
        <f t="shared" si="16"/>
        <v>0</v>
      </c>
      <c r="Q115" s="9">
        <f t="shared" si="17"/>
        <v>0</v>
      </c>
      <c r="R115" s="10"/>
      <c r="S115" s="9">
        <f t="shared" si="18"/>
        <v>8.0625000000000002E-2</v>
      </c>
      <c r="T115" s="9">
        <f t="shared" si="19"/>
        <v>29.428125000000001</v>
      </c>
    </row>
    <row r="116" spans="3:20" x14ac:dyDescent="0.35">
      <c r="C116" s="6">
        <f t="shared" si="20"/>
        <v>111</v>
      </c>
      <c r="D116" t="s">
        <v>263</v>
      </c>
      <c r="E116" t="s">
        <v>122</v>
      </c>
      <c r="F116" t="s">
        <v>264</v>
      </c>
      <c r="G116" t="s">
        <v>122</v>
      </c>
      <c r="H116" s="7">
        <v>0</v>
      </c>
      <c r="I116" s="7">
        <v>1.1399999999999999</v>
      </c>
      <c r="J116" s="8">
        <f t="shared" si="13"/>
        <v>1.1399999999999999</v>
      </c>
      <c r="K116" s="8"/>
      <c r="L116" s="9">
        <f t="shared" si="21"/>
        <v>7.1249999999999994E-2</v>
      </c>
      <c r="M116" s="9">
        <f t="shared" si="14"/>
        <v>26.006249999999998</v>
      </c>
      <c r="N116" s="10">
        <f t="shared" si="15"/>
        <v>6.7603268440125715E-5</v>
      </c>
      <c r="O116" s="10"/>
      <c r="P116" s="9">
        <f t="shared" si="16"/>
        <v>0</v>
      </c>
      <c r="Q116" s="9">
        <f t="shared" si="17"/>
        <v>0</v>
      </c>
      <c r="R116" s="10"/>
      <c r="S116" s="9">
        <f t="shared" si="18"/>
        <v>7.1249999999999994E-2</v>
      </c>
      <c r="T116" s="9">
        <f t="shared" si="19"/>
        <v>26.006249999999998</v>
      </c>
    </row>
    <row r="117" spans="3:20" x14ac:dyDescent="0.35">
      <c r="C117" s="6">
        <f t="shared" si="20"/>
        <v>112</v>
      </c>
      <c r="D117" t="s">
        <v>265</v>
      </c>
      <c r="E117" t="s">
        <v>267</v>
      </c>
      <c r="F117" t="s">
        <v>266</v>
      </c>
      <c r="G117" t="s">
        <v>33</v>
      </c>
      <c r="H117" s="7">
        <v>0</v>
      </c>
      <c r="I117" s="7">
        <v>1.07</v>
      </c>
      <c r="J117" s="8">
        <f t="shared" si="13"/>
        <v>1.07</v>
      </c>
      <c r="K117" s="8"/>
      <c r="L117" s="9">
        <f t="shared" si="21"/>
        <v>6.6875000000000004E-2</v>
      </c>
      <c r="M117" s="9">
        <f t="shared" si="14"/>
        <v>24.409375000000001</v>
      </c>
      <c r="N117" s="10">
        <f t="shared" si="15"/>
        <v>6.3452190553451343E-5</v>
      </c>
      <c r="O117" s="10"/>
      <c r="P117" s="9">
        <f t="shared" si="16"/>
        <v>0</v>
      </c>
      <c r="Q117" s="9">
        <f t="shared" si="17"/>
        <v>0</v>
      </c>
      <c r="R117" s="10"/>
      <c r="S117" s="9">
        <f t="shared" si="18"/>
        <v>6.6875000000000004E-2</v>
      </c>
      <c r="T117" s="9">
        <f t="shared" si="19"/>
        <v>24.409375000000001</v>
      </c>
    </row>
    <row r="118" spans="3:20" x14ac:dyDescent="0.35">
      <c r="C118" s="6">
        <f t="shared" si="20"/>
        <v>113</v>
      </c>
      <c r="D118" t="s">
        <v>268</v>
      </c>
      <c r="E118" t="s">
        <v>61</v>
      </c>
      <c r="F118" t="s">
        <v>269</v>
      </c>
      <c r="G118" t="s">
        <v>41</v>
      </c>
      <c r="H118" s="7">
        <v>0</v>
      </c>
      <c r="I118" s="7">
        <v>1</v>
      </c>
      <c r="J118" s="8">
        <f t="shared" si="13"/>
        <v>1</v>
      </c>
      <c r="K118" s="8"/>
      <c r="L118" s="9">
        <f t="shared" si="21"/>
        <v>6.25E-2</v>
      </c>
      <c r="M118" s="9">
        <f t="shared" si="14"/>
        <v>22.8125</v>
      </c>
      <c r="N118" s="10">
        <f t="shared" si="15"/>
        <v>5.9301112666776957E-5</v>
      </c>
      <c r="O118" s="10"/>
      <c r="P118" s="9">
        <f t="shared" si="16"/>
        <v>0</v>
      </c>
      <c r="Q118" s="9">
        <f t="shared" si="17"/>
        <v>0</v>
      </c>
      <c r="R118" s="10"/>
      <c r="S118" s="9">
        <f t="shared" si="18"/>
        <v>6.25E-2</v>
      </c>
      <c r="T118" s="9">
        <f t="shared" si="19"/>
        <v>22.8125</v>
      </c>
    </row>
    <row r="119" spans="3:20" x14ac:dyDescent="0.35">
      <c r="C119" s="6">
        <f t="shared" si="20"/>
        <v>113</v>
      </c>
      <c r="D119" t="s">
        <v>270</v>
      </c>
      <c r="E119" t="s">
        <v>21</v>
      </c>
      <c r="F119" t="s">
        <v>271</v>
      </c>
      <c r="G119" t="s">
        <v>22</v>
      </c>
      <c r="H119" s="7">
        <v>0</v>
      </c>
      <c r="I119" s="7">
        <v>1</v>
      </c>
      <c r="J119" s="8">
        <f t="shared" si="13"/>
        <v>1</v>
      </c>
      <c r="K119" s="8"/>
      <c r="L119" s="9">
        <f t="shared" si="21"/>
        <v>6.25E-2</v>
      </c>
      <c r="M119" s="9">
        <f t="shared" si="14"/>
        <v>22.8125</v>
      </c>
      <c r="N119" s="10">
        <f t="shared" si="15"/>
        <v>5.9301112666776957E-5</v>
      </c>
      <c r="O119" s="10"/>
      <c r="P119" s="9">
        <f t="shared" si="16"/>
        <v>0</v>
      </c>
      <c r="Q119" s="9">
        <f t="shared" si="17"/>
        <v>0</v>
      </c>
      <c r="R119" s="10"/>
      <c r="S119" s="9">
        <f t="shared" si="18"/>
        <v>6.25E-2</v>
      </c>
      <c r="T119" s="9">
        <f t="shared" si="19"/>
        <v>22.8125</v>
      </c>
    </row>
    <row r="120" spans="3:20" x14ac:dyDescent="0.35">
      <c r="C120" s="6">
        <f t="shared" si="20"/>
        <v>115</v>
      </c>
      <c r="D120" t="s">
        <v>272</v>
      </c>
      <c r="E120" t="s">
        <v>21</v>
      </c>
      <c r="F120" t="s">
        <v>273</v>
      </c>
      <c r="G120" t="s">
        <v>22</v>
      </c>
      <c r="H120" s="7">
        <v>0</v>
      </c>
      <c r="I120" s="7">
        <v>0.85</v>
      </c>
      <c r="J120" s="8">
        <f t="shared" si="13"/>
        <v>0.85</v>
      </c>
      <c r="K120" s="8"/>
      <c r="L120" s="9">
        <f t="shared" si="21"/>
        <v>5.3124999999999999E-2</v>
      </c>
      <c r="M120" s="9">
        <f t="shared" si="14"/>
        <v>19.390625</v>
      </c>
      <c r="N120" s="10">
        <f t="shared" si="15"/>
        <v>5.0405945766760408E-5</v>
      </c>
      <c r="O120" s="10"/>
      <c r="P120" s="9">
        <f t="shared" si="16"/>
        <v>0</v>
      </c>
      <c r="Q120" s="9">
        <f t="shared" si="17"/>
        <v>0</v>
      </c>
      <c r="R120" s="10"/>
      <c r="S120" s="9">
        <f t="shared" si="18"/>
        <v>5.3124999999999999E-2</v>
      </c>
      <c r="T120" s="9">
        <f t="shared" si="19"/>
        <v>19.390625</v>
      </c>
    </row>
    <row r="121" spans="3:20" x14ac:dyDescent="0.35">
      <c r="C121" s="6">
        <f t="shared" si="20"/>
        <v>116</v>
      </c>
      <c r="D121" t="s">
        <v>274</v>
      </c>
      <c r="E121" t="s">
        <v>21</v>
      </c>
      <c r="F121" t="s">
        <v>275</v>
      </c>
      <c r="G121" t="s">
        <v>22</v>
      </c>
      <c r="H121" s="7">
        <v>0</v>
      </c>
      <c r="I121" s="7">
        <v>0.8</v>
      </c>
      <c r="J121" s="8">
        <f t="shared" si="13"/>
        <v>0.8</v>
      </c>
      <c r="K121" s="8"/>
      <c r="L121" s="9">
        <f t="shared" si="21"/>
        <v>0.05</v>
      </c>
      <c r="M121" s="9">
        <f t="shared" si="14"/>
        <v>18.25</v>
      </c>
      <c r="N121" s="10">
        <f t="shared" si="15"/>
        <v>4.7440890133421568E-5</v>
      </c>
      <c r="O121" s="10"/>
      <c r="P121" s="9">
        <f t="shared" si="16"/>
        <v>0</v>
      </c>
      <c r="Q121" s="9">
        <f t="shared" si="17"/>
        <v>0</v>
      </c>
      <c r="R121" s="10"/>
      <c r="S121" s="9">
        <f t="shared" si="18"/>
        <v>0.05</v>
      </c>
      <c r="T121" s="9">
        <f t="shared" si="19"/>
        <v>18.25</v>
      </c>
    </row>
    <row r="122" spans="3:20" x14ac:dyDescent="0.35">
      <c r="C122" s="6">
        <f t="shared" si="20"/>
        <v>117</v>
      </c>
      <c r="D122" t="s">
        <v>276</v>
      </c>
      <c r="E122" t="s">
        <v>21</v>
      </c>
      <c r="F122" t="s">
        <v>277</v>
      </c>
      <c r="G122" t="s">
        <v>22</v>
      </c>
      <c r="H122" s="7">
        <v>0</v>
      </c>
      <c r="I122" s="7">
        <v>0.77</v>
      </c>
      <c r="J122" s="8">
        <f t="shared" si="13"/>
        <v>0.77</v>
      </c>
      <c r="K122" s="8"/>
      <c r="L122" s="9">
        <f t="shared" si="21"/>
        <v>4.8125000000000001E-2</v>
      </c>
      <c r="M122" s="9">
        <f t="shared" si="14"/>
        <v>17.565625000000001</v>
      </c>
      <c r="N122" s="10">
        <f t="shared" si="15"/>
        <v>4.5661856753418253E-5</v>
      </c>
      <c r="O122" s="10"/>
      <c r="P122" s="9">
        <f t="shared" si="16"/>
        <v>0</v>
      </c>
      <c r="Q122" s="9">
        <f t="shared" si="17"/>
        <v>0</v>
      </c>
      <c r="R122" s="10"/>
      <c r="S122" s="9">
        <f t="shared" si="18"/>
        <v>4.8125000000000001E-2</v>
      </c>
      <c r="T122" s="9">
        <f t="shared" si="19"/>
        <v>17.565625000000001</v>
      </c>
    </row>
    <row r="123" spans="3:20" x14ac:dyDescent="0.35">
      <c r="C123" s="6">
        <f t="shared" si="20"/>
        <v>118</v>
      </c>
      <c r="D123" t="s">
        <v>278</v>
      </c>
      <c r="E123" t="s">
        <v>113</v>
      </c>
      <c r="F123" t="s">
        <v>279</v>
      </c>
      <c r="G123" t="s">
        <v>113</v>
      </c>
      <c r="H123" s="7">
        <v>0.56000000000000005</v>
      </c>
      <c r="I123" s="7">
        <v>0</v>
      </c>
      <c r="J123" s="8">
        <f t="shared" si="13"/>
        <v>0.56000000000000005</v>
      </c>
      <c r="K123" s="8"/>
      <c r="L123" s="9">
        <f t="shared" si="21"/>
        <v>3.5000000000000003E-2</v>
      </c>
      <c r="M123" s="9">
        <f t="shared" si="14"/>
        <v>12.775</v>
      </c>
      <c r="N123" s="10">
        <f t="shared" si="15"/>
        <v>3.3208623093395095E-5</v>
      </c>
      <c r="O123" s="10"/>
      <c r="P123" s="9">
        <f t="shared" si="16"/>
        <v>3.5000000000000003E-2</v>
      </c>
      <c r="Q123" s="9">
        <f t="shared" si="17"/>
        <v>12.775</v>
      </c>
      <c r="R123" s="10"/>
      <c r="S123" s="9">
        <f t="shared" si="18"/>
        <v>0</v>
      </c>
      <c r="T123" s="9">
        <f t="shared" si="19"/>
        <v>0</v>
      </c>
    </row>
    <row r="124" spans="3:20" x14ac:dyDescent="0.35">
      <c r="C124" s="6">
        <f t="shared" si="20"/>
        <v>119</v>
      </c>
      <c r="D124" t="s">
        <v>280</v>
      </c>
      <c r="E124" t="s">
        <v>179</v>
      </c>
      <c r="F124" t="s">
        <v>281</v>
      </c>
      <c r="G124" t="s">
        <v>22</v>
      </c>
      <c r="H124" s="7">
        <v>0</v>
      </c>
      <c r="I124" s="7">
        <v>0.48</v>
      </c>
      <c r="J124" s="8">
        <f t="shared" si="13"/>
        <v>0.48</v>
      </c>
      <c r="K124" s="8"/>
      <c r="L124" s="9">
        <f t="shared" si="21"/>
        <v>0.03</v>
      </c>
      <c r="M124" s="9">
        <f t="shared" si="14"/>
        <v>10.95</v>
      </c>
      <c r="N124" s="10">
        <f t="shared" si="15"/>
        <v>2.8464534080052936E-5</v>
      </c>
      <c r="O124" s="10"/>
      <c r="P124" s="9">
        <f t="shared" si="16"/>
        <v>0</v>
      </c>
      <c r="Q124" s="9">
        <f t="shared" si="17"/>
        <v>0</v>
      </c>
      <c r="R124" s="10"/>
      <c r="S124" s="9">
        <f t="shared" si="18"/>
        <v>0.03</v>
      </c>
      <c r="T124" s="9">
        <f t="shared" si="19"/>
        <v>10.95</v>
      </c>
    </row>
    <row r="125" spans="3:20" x14ac:dyDescent="0.35">
      <c r="C125" s="6">
        <f t="shared" si="20"/>
        <v>120</v>
      </c>
      <c r="D125" t="s">
        <v>282</v>
      </c>
      <c r="E125" t="s">
        <v>21</v>
      </c>
      <c r="F125" t="s">
        <v>283</v>
      </c>
      <c r="G125" t="s">
        <v>22</v>
      </c>
      <c r="H125" s="7">
        <v>0</v>
      </c>
      <c r="I125" s="7">
        <v>0.38</v>
      </c>
      <c r="J125" s="8">
        <f t="shared" si="13"/>
        <v>0.38</v>
      </c>
      <c r="K125" s="8"/>
      <c r="L125" s="9">
        <f t="shared" si="21"/>
        <v>2.375E-2</v>
      </c>
      <c r="M125" s="9">
        <f t="shared" si="14"/>
        <v>8.6687499999999993</v>
      </c>
      <c r="N125" s="10">
        <f t="shared" si="15"/>
        <v>2.2534422813375242E-5</v>
      </c>
      <c r="O125" s="10"/>
      <c r="P125" s="9">
        <f t="shared" si="16"/>
        <v>0</v>
      </c>
      <c r="Q125" s="9">
        <f t="shared" si="17"/>
        <v>0</v>
      </c>
      <c r="R125" s="10"/>
      <c r="S125" s="9">
        <f t="shared" si="18"/>
        <v>2.375E-2</v>
      </c>
      <c r="T125" s="9">
        <f t="shared" si="19"/>
        <v>8.6687499999999993</v>
      </c>
    </row>
    <row r="126" spans="3:20" x14ac:dyDescent="0.35">
      <c r="C126" s="6">
        <f t="shared" si="20"/>
        <v>120</v>
      </c>
      <c r="D126" t="s">
        <v>284</v>
      </c>
      <c r="E126" t="s">
        <v>286</v>
      </c>
      <c r="F126" t="s">
        <v>285</v>
      </c>
      <c r="G126" t="s">
        <v>33</v>
      </c>
      <c r="H126" s="7">
        <v>0</v>
      </c>
      <c r="I126" s="7">
        <v>0.38</v>
      </c>
      <c r="J126" s="8">
        <f t="shared" si="13"/>
        <v>0.38</v>
      </c>
      <c r="K126" s="8"/>
      <c r="L126" s="9">
        <f t="shared" si="21"/>
        <v>2.375E-2</v>
      </c>
      <c r="M126" s="9">
        <f t="shared" si="14"/>
        <v>8.6687499999999993</v>
      </c>
      <c r="N126" s="10">
        <f t="shared" si="15"/>
        <v>2.2534422813375242E-5</v>
      </c>
      <c r="O126" s="10"/>
      <c r="P126" s="9">
        <f t="shared" si="16"/>
        <v>0</v>
      </c>
      <c r="Q126" s="9">
        <f t="shared" si="17"/>
        <v>0</v>
      </c>
      <c r="R126" s="10"/>
      <c r="S126" s="9">
        <f t="shared" si="18"/>
        <v>2.375E-2</v>
      </c>
      <c r="T126" s="9">
        <f t="shared" si="19"/>
        <v>8.6687499999999993</v>
      </c>
    </row>
    <row r="127" spans="3:20" x14ac:dyDescent="0.35">
      <c r="C127" s="6">
        <f t="shared" si="20"/>
        <v>122</v>
      </c>
      <c r="D127" t="s">
        <v>287</v>
      </c>
      <c r="E127" t="s">
        <v>289</v>
      </c>
      <c r="F127" t="s">
        <v>288</v>
      </c>
      <c r="G127" t="s">
        <v>18</v>
      </c>
      <c r="H127" s="7">
        <v>0</v>
      </c>
      <c r="I127" s="7">
        <v>0.33</v>
      </c>
      <c r="J127" s="8">
        <f t="shared" si="13"/>
        <v>0.33</v>
      </c>
      <c r="K127" s="8"/>
      <c r="L127" s="9">
        <f t="shared" si="21"/>
        <v>2.0625000000000001E-2</v>
      </c>
      <c r="M127" s="9">
        <f t="shared" si="14"/>
        <v>7.5281250000000002</v>
      </c>
      <c r="N127" s="10">
        <f t="shared" si="15"/>
        <v>1.9569367180036395E-5</v>
      </c>
      <c r="O127" s="10"/>
      <c r="P127" s="9">
        <f t="shared" si="16"/>
        <v>0</v>
      </c>
      <c r="Q127" s="9">
        <f t="shared" si="17"/>
        <v>0</v>
      </c>
      <c r="R127" s="10"/>
      <c r="S127" s="9">
        <f t="shared" si="18"/>
        <v>2.0625000000000001E-2</v>
      </c>
      <c r="T127" s="9">
        <f t="shared" si="19"/>
        <v>7.5281250000000002</v>
      </c>
    </row>
    <row r="128" spans="3:20" x14ac:dyDescent="0.35">
      <c r="C128" s="6">
        <f t="shared" si="20"/>
        <v>122</v>
      </c>
      <c r="D128" t="s">
        <v>290</v>
      </c>
      <c r="E128" t="s">
        <v>74</v>
      </c>
      <c r="F128" t="s">
        <v>291</v>
      </c>
      <c r="G128" t="s">
        <v>41</v>
      </c>
      <c r="H128" s="7">
        <v>0</v>
      </c>
      <c r="I128" s="7">
        <v>0.33</v>
      </c>
      <c r="J128" s="8">
        <f t="shared" si="13"/>
        <v>0.33</v>
      </c>
      <c r="K128" s="8"/>
      <c r="L128" s="9">
        <f t="shared" si="21"/>
        <v>2.0625000000000001E-2</v>
      </c>
      <c r="M128" s="9">
        <f t="shared" si="14"/>
        <v>7.5281250000000002</v>
      </c>
      <c r="N128" s="10">
        <f t="shared" si="15"/>
        <v>1.9569367180036395E-5</v>
      </c>
      <c r="O128" s="10"/>
      <c r="P128" s="9">
        <f t="shared" si="16"/>
        <v>0</v>
      </c>
      <c r="Q128" s="9">
        <f t="shared" si="17"/>
        <v>0</v>
      </c>
      <c r="R128" s="10"/>
      <c r="S128" s="9">
        <f t="shared" si="18"/>
        <v>2.0625000000000001E-2</v>
      </c>
      <c r="T128" s="9">
        <f t="shared" si="19"/>
        <v>7.5281250000000002</v>
      </c>
    </row>
    <row r="129" spans="3:20" x14ac:dyDescent="0.35">
      <c r="C129" s="6">
        <f t="shared" si="20"/>
        <v>124</v>
      </c>
      <c r="D129" t="s">
        <v>292</v>
      </c>
      <c r="E129" t="s">
        <v>235</v>
      </c>
      <c r="F129" t="s">
        <v>293</v>
      </c>
      <c r="G129" t="s">
        <v>22</v>
      </c>
      <c r="H129" s="7">
        <v>0</v>
      </c>
      <c r="I129" s="7">
        <v>0.15</v>
      </c>
      <c r="J129" s="8">
        <f t="shared" si="13"/>
        <v>0.15</v>
      </c>
      <c r="K129" s="8"/>
      <c r="L129" s="9">
        <f t="shared" si="21"/>
        <v>9.3749999999999997E-3</v>
      </c>
      <c r="M129" s="9">
        <f t="shared" si="14"/>
        <v>3.421875</v>
      </c>
      <c r="N129" s="10">
        <f t="shared" si="15"/>
        <v>8.8951669000165432E-6</v>
      </c>
      <c r="O129" s="10"/>
      <c r="P129" s="9">
        <f t="shared" si="16"/>
        <v>0</v>
      </c>
      <c r="Q129" s="9">
        <f t="shared" si="17"/>
        <v>0</v>
      </c>
      <c r="R129" s="10"/>
      <c r="S129" s="9">
        <f t="shared" si="18"/>
        <v>9.3749999999999997E-3</v>
      </c>
      <c r="T129" s="9">
        <f t="shared" si="19"/>
        <v>3.421875</v>
      </c>
    </row>
    <row r="130" spans="3:20" x14ac:dyDescent="0.35">
      <c r="C130" s="6">
        <f t="shared" si="20"/>
        <v>125</v>
      </c>
      <c r="D130" t="s">
        <v>294</v>
      </c>
      <c r="E130" t="s">
        <v>296</v>
      </c>
      <c r="F130" t="s">
        <v>295</v>
      </c>
      <c r="G130" t="s">
        <v>122</v>
      </c>
      <c r="H130" s="7">
        <v>0</v>
      </c>
      <c r="I130" s="7">
        <v>0.13</v>
      </c>
      <c r="J130" s="8">
        <f t="shared" si="13"/>
        <v>0.13</v>
      </c>
      <c r="K130" s="8"/>
      <c r="L130" s="9">
        <f t="shared" si="21"/>
        <v>8.1250000000000003E-3</v>
      </c>
      <c r="M130" s="9">
        <f t="shared" si="14"/>
        <v>2.9656250000000002</v>
      </c>
      <c r="N130" s="10">
        <f t="shared" si="15"/>
        <v>7.7091446466810043E-6</v>
      </c>
      <c r="O130" s="10"/>
      <c r="P130" s="9">
        <f t="shared" si="16"/>
        <v>0</v>
      </c>
      <c r="Q130" s="9">
        <f t="shared" si="17"/>
        <v>0</v>
      </c>
      <c r="R130" s="10"/>
      <c r="S130" s="9">
        <f t="shared" si="18"/>
        <v>8.1250000000000003E-3</v>
      </c>
      <c r="T130" s="9">
        <f t="shared" si="19"/>
        <v>2.9656250000000002</v>
      </c>
    </row>
    <row r="131" spans="3:20" x14ac:dyDescent="0.35">
      <c r="C131" s="6">
        <f t="shared" si="20"/>
        <v>126</v>
      </c>
      <c r="D131" t="s">
        <v>297</v>
      </c>
      <c r="E131" t="s">
        <v>299</v>
      </c>
      <c r="F131" t="s">
        <v>298</v>
      </c>
      <c r="G131" t="s">
        <v>33</v>
      </c>
      <c r="H131" s="7">
        <v>0</v>
      </c>
      <c r="I131" s="7">
        <v>0.12</v>
      </c>
      <c r="J131" s="8">
        <f t="shared" si="13"/>
        <v>0.12</v>
      </c>
      <c r="K131" s="8"/>
      <c r="L131" s="9">
        <f t="shared" si="21"/>
        <v>7.4999999999999997E-3</v>
      </c>
      <c r="M131" s="9">
        <f t="shared" si="14"/>
        <v>2.7374999999999998</v>
      </c>
      <c r="N131" s="10">
        <f t="shared" si="15"/>
        <v>7.116133520013234E-6</v>
      </c>
      <c r="O131" s="10"/>
      <c r="P131" s="9">
        <f t="shared" si="16"/>
        <v>0</v>
      </c>
      <c r="Q131" s="9">
        <f t="shared" si="17"/>
        <v>0</v>
      </c>
      <c r="R131" s="10"/>
      <c r="S131" s="9">
        <f t="shared" si="18"/>
        <v>7.4999999999999997E-3</v>
      </c>
      <c r="T131" s="9">
        <f t="shared" si="19"/>
        <v>2.7374999999999998</v>
      </c>
    </row>
    <row r="132" spans="3:20" x14ac:dyDescent="0.35">
      <c r="C132" s="6">
        <f t="shared" si="20"/>
        <v>126</v>
      </c>
      <c r="D132" t="s">
        <v>300</v>
      </c>
      <c r="E132" t="s">
        <v>302</v>
      </c>
      <c r="F132" t="s">
        <v>301</v>
      </c>
      <c r="G132" t="s">
        <v>41</v>
      </c>
      <c r="H132" s="7">
        <v>0</v>
      </c>
      <c r="I132" s="7">
        <v>0.12</v>
      </c>
      <c r="J132" s="8">
        <f t="shared" si="13"/>
        <v>0.12</v>
      </c>
      <c r="K132" s="8"/>
      <c r="L132" s="9">
        <f t="shared" si="21"/>
        <v>7.4999999999999997E-3</v>
      </c>
      <c r="M132" s="9">
        <f t="shared" si="14"/>
        <v>2.7374999999999998</v>
      </c>
      <c r="N132" s="10">
        <f t="shared" si="15"/>
        <v>7.116133520013234E-6</v>
      </c>
      <c r="O132" s="10"/>
      <c r="P132" s="9">
        <f t="shared" si="16"/>
        <v>0</v>
      </c>
      <c r="Q132" s="9">
        <f t="shared" si="17"/>
        <v>0</v>
      </c>
      <c r="R132" s="10"/>
      <c r="S132" s="9">
        <f t="shared" si="18"/>
        <v>7.4999999999999997E-3</v>
      </c>
      <c r="T132" s="9">
        <f t="shared" si="19"/>
        <v>2.7374999999999998</v>
      </c>
    </row>
    <row r="133" spans="3:20" x14ac:dyDescent="0.35">
      <c r="C133" s="6">
        <f t="shared" si="20"/>
        <v>128</v>
      </c>
      <c r="D133" t="s">
        <v>303</v>
      </c>
      <c r="E133" t="s">
        <v>74</v>
      </c>
      <c r="F133" t="s">
        <v>304</v>
      </c>
      <c r="G133" t="s">
        <v>41</v>
      </c>
      <c r="H133" s="7">
        <v>0</v>
      </c>
      <c r="I133" s="7">
        <v>7.0000000000000007E-2</v>
      </c>
      <c r="J133" s="8">
        <f t="shared" si="13"/>
        <v>7.0000000000000007E-2</v>
      </c>
      <c r="K133" s="8"/>
      <c r="L133" s="9">
        <f t="shared" si="21"/>
        <v>4.3750000000000004E-3</v>
      </c>
      <c r="M133" s="9">
        <f t="shared" si="14"/>
        <v>1.596875</v>
      </c>
      <c r="N133" s="10">
        <f t="shared" si="15"/>
        <v>4.1510778866743869E-6</v>
      </c>
      <c r="O133" s="10"/>
      <c r="P133" s="9">
        <f t="shared" si="16"/>
        <v>0</v>
      </c>
      <c r="Q133" s="9">
        <f t="shared" si="17"/>
        <v>0</v>
      </c>
      <c r="R133" s="10"/>
      <c r="S133" s="9">
        <f t="shared" si="18"/>
        <v>4.3750000000000004E-3</v>
      </c>
      <c r="T133" s="9">
        <f t="shared" si="19"/>
        <v>1.596875</v>
      </c>
    </row>
    <row r="134" spans="3:20" x14ac:dyDescent="0.35">
      <c r="C134" s="6">
        <f t="shared" si="20"/>
        <v>128</v>
      </c>
      <c r="D134" t="s">
        <v>305</v>
      </c>
      <c r="E134" t="s">
        <v>289</v>
      </c>
      <c r="F134" t="s">
        <v>306</v>
      </c>
      <c r="G134" t="s">
        <v>18</v>
      </c>
      <c r="H134" s="7">
        <v>0</v>
      </c>
      <c r="I134" s="7">
        <v>7.0000000000000007E-2</v>
      </c>
      <c r="J134" s="8">
        <f t="shared" si="13"/>
        <v>7.0000000000000007E-2</v>
      </c>
      <c r="K134" s="8"/>
      <c r="L134" s="9">
        <f t="shared" si="21"/>
        <v>4.3750000000000004E-3</v>
      </c>
      <c r="M134" s="9">
        <f t="shared" si="14"/>
        <v>1.596875</v>
      </c>
      <c r="N134" s="10">
        <f t="shared" si="15"/>
        <v>4.1510778866743869E-6</v>
      </c>
      <c r="O134" s="10"/>
      <c r="P134" s="9">
        <f t="shared" si="16"/>
        <v>0</v>
      </c>
      <c r="Q134" s="9">
        <f t="shared" si="17"/>
        <v>0</v>
      </c>
      <c r="R134" s="10"/>
      <c r="S134" s="9">
        <f t="shared" si="18"/>
        <v>4.3750000000000004E-3</v>
      </c>
      <c r="T134" s="9">
        <f t="shared" si="19"/>
        <v>1.596875</v>
      </c>
    </row>
    <row r="135" spans="3:20" x14ac:dyDescent="0.35">
      <c r="C135" s="6">
        <f t="shared" si="20"/>
        <v>130</v>
      </c>
      <c r="D135" t="s">
        <v>307</v>
      </c>
      <c r="E135" t="s">
        <v>309</v>
      </c>
      <c r="F135" t="s">
        <v>308</v>
      </c>
      <c r="G135" t="s">
        <v>310</v>
      </c>
      <c r="H135" s="7">
        <v>0</v>
      </c>
      <c r="I135" s="7">
        <v>0.05</v>
      </c>
      <c r="J135" s="8">
        <f t="shared" ref="J135:J137" si="22">SUM(H135:I135)</f>
        <v>0.05</v>
      </c>
      <c r="K135" s="8"/>
      <c r="L135" s="9">
        <f t="shared" si="21"/>
        <v>3.1250000000000002E-3</v>
      </c>
      <c r="M135" s="9">
        <f t="shared" ref="M135:M137" si="23">+L135*365</f>
        <v>1.140625</v>
      </c>
      <c r="N135" s="10">
        <f t="shared" ref="N135:N137" si="24">+J135/$J$138</f>
        <v>2.965055633338848E-6</v>
      </c>
      <c r="O135" s="10"/>
      <c r="P135" s="9">
        <f t="shared" ref="P135:P137" si="25">+H135/$W$4</f>
        <v>0</v>
      </c>
      <c r="Q135" s="9">
        <f t="shared" ref="Q135:Q137" si="26">+P135*365</f>
        <v>0</v>
      </c>
      <c r="R135" s="10"/>
      <c r="S135" s="9">
        <f t="shared" ref="S135:S137" si="27">+I135/$W$4</f>
        <v>3.1250000000000002E-3</v>
      </c>
      <c r="T135" s="9">
        <f t="shared" ref="T135:T137" si="28">+S135*365</f>
        <v>1.140625</v>
      </c>
    </row>
    <row r="136" spans="3:20" x14ac:dyDescent="0.35">
      <c r="C136" s="6">
        <f t="shared" si="20"/>
        <v>131</v>
      </c>
      <c r="D136" t="s">
        <v>311</v>
      </c>
      <c r="E136" t="s">
        <v>313</v>
      </c>
      <c r="F136" t="s">
        <v>312</v>
      </c>
      <c r="G136" t="s">
        <v>144</v>
      </c>
      <c r="H136" s="7">
        <v>0</v>
      </c>
      <c r="I136" s="7">
        <v>0.04</v>
      </c>
      <c r="J136" s="8">
        <f t="shared" si="22"/>
        <v>0.04</v>
      </c>
      <c r="K136" s="8"/>
      <c r="L136" s="9">
        <f t="shared" si="21"/>
        <v>2.5000000000000001E-3</v>
      </c>
      <c r="M136" s="9">
        <f t="shared" si="23"/>
        <v>0.91249999999999998</v>
      </c>
      <c r="N136" s="10">
        <f t="shared" si="24"/>
        <v>2.3720445066710781E-6</v>
      </c>
      <c r="O136" s="10"/>
      <c r="P136" s="9">
        <f t="shared" si="25"/>
        <v>0</v>
      </c>
      <c r="Q136" s="9">
        <f t="shared" si="26"/>
        <v>0</v>
      </c>
      <c r="R136" s="10"/>
      <c r="S136" s="9">
        <f t="shared" si="27"/>
        <v>2.5000000000000001E-3</v>
      </c>
      <c r="T136" s="9">
        <f t="shared" si="28"/>
        <v>0.91249999999999998</v>
      </c>
    </row>
    <row r="137" spans="3:20" x14ac:dyDescent="0.35">
      <c r="C137" s="6">
        <f t="shared" si="20"/>
        <v>131</v>
      </c>
      <c r="D137" t="s">
        <v>314</v>
      </c>
      <c r="E137" t="s">
        <v>179</v>
      </c>
      <c r="F137" t="s">
        <v>315</v>
      </c>
      <c r="G137" t="s">
        <v>144</v>
      </c>
      <c r="H137" s="7">
        <v>0</v>
      </c>
      <c r="I137" s="7">
        <v>0.04</v>
      </c>
      <c r="J137" s="8">
        <f t="shared" si="22"/>
        <v>0.04</v>
      </c>
      <c r="K137" s="8"/>
      <c r="L137" s="9">
        <f t="shared" si="21"/>
        <v>2.5000000000000001E-3</v>
      </c>
      <c r="M137" s="9">
        <f t="shared" si="23"/>
        <v>0.91249999999999998</v>
      </c>
      <c r="N137" s="10">
        <f t="shared" si="24"/>
        <v>2.3720445066710781E-6</v>
      </c>
      <c r="O137" s="10"/>
      <c r="P137" s="9">
        <f t="shared" si="25"/>
        <v>0</v>
      </c>
      <c r="Q137" s="9">
        <f t="shared" si="26"/>
        <v>0</v>
      </c>
      <c r="R137" s="10"/>
      <c r="S137" s="9">
        <f t="shared" si="27"/>
        <v>2.5000000000000001E-3</v>
      </c>
      <c r="T137" s="9">
        <f t="shared" si="28"/>
        <v>0.91249999999999998</v>
      </c>
    </row>
    <row r="138" spans="3:20" x14ac:dyDescent="0.35">
      <c r="C138" s="11" t="s">
        <v>316</v>
      </c>
      <c r="D138" s="11"/>
      <c r="E138" s="11"/>
      <c r="F138" s="11"/>
      <c r="G138" s="11"/>
      <c r="H138" s="12">
        <f>SUM(H6:H137)</f>
        <v>3638.43</v>
      </c>
      <c r="I138" s="12">
        <f>SUM(I6:I137)</f>
        <v>13224.660000000002</v>
      </c>
      <c r="J138" s="12">
        <f>SUM(J6:J137)</f>
        <v>16863.090000000004</v>
      </c>
      <c r="K138" s="12"/>
      <c r="L138" s="12">
        <f>SUM(L6:L137)</f>
        <v>1053.9431250000002</v>
      </c>
      <c r="M138" s="12">
        <f>SUM(M6:M137)</f>
        <v>384689.24062499998</v>
      </c>
      <c r="N138" s="13">
        <f>SUM(N6:N137)</f>
        <v>1.0000000000000002</v>
      </c>
      <c r="O138" s="13"/>
      <c r="P138" s="12">
        <f>SUM(P6:P137)</f>
        <v>227.40187499999999</v>
      </c>
      <c r="Q138" s="12">
        <f>SUM(Q6:Q137)</f>
        <v>83001.684374999968</v>
      </c>
      <c r="R138" s="13"/>
      <c r="S138" s="12">
        <f>SUM(S6:S137)</f>
        <v>826.5412500000001</v>
      </c>
      <c r="T138" s="12">
        <f>SUM(T6:T137)</f>
        <v>301687.55625000008</v>
      </c>
    </row>
  </sheetData>
  <pageMargins left="0.7" right="0.7" top="0.75" bottom="0.75" header="0.3" footer="0.3"/>
  <pageSetup scale="3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Feb AI Spend by Individual</vt:lpstr>
      <vt:lpstr>'Feb AI Spend by Individual'!Print_Area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Hamilton Merrill</dc:creator>
  <cp:lastModifiedBy>Hamilton Merrill</cp:lastModifiedBy>
  <dcterms:created xsi:type="dcterms:W3CDTF">2026-02-18T17:39:20Z</dcterms:created>
  <dcterms:modified xsi:type="dcterms:W3CDTF">2026-02-18T19:24:33Z</dcterms:modified>
</cp:coreProperties>
</file>